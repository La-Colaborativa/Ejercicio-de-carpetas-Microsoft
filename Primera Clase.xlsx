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herineTorres\Desktop\"/>
    </mc:Choice>
  </mc:AlternateContent>
  <xr:revisionPtr revIDLastSave="0" documentId="8_{EB6FAECA-6D1E-454F-B870-CCE06FD2B591}" xr6:coauthVersionLast="47" xr6:coauthVersionMax="47" xr10:uidLastSave="{00000000-0000-0000-0000-000000000000}"/>
  <bookViews>
    <workbookView xWindow="5772" yWindow="4836" windowWidth="9372" windowHeight="7500" xr2:uid="{3F48817C-4CBC-47A5-8F9A-082771887D0C}"/>
  </bookViews>
  <sheets>
    <sheet name="Clase 1" sheetId="1" r:id="rId1"/>
    <sheet name="Clase 2" sheetId="2" r:id="rId2"/>
    <sheet name="Ventas Norte-America" sheetId="3" r:id="rId3"/>
    <sheet name="Ventas Suramenrica" sheetId="4" r:id="rId4"/>
    <sheet name="Ventas Totales" sheetId="7" r:id="rId5"/>
  </sheets>
  <definedNames>
    <definedName name="Numero_de_empleados">'Clase 1'!$D$30</definedName>
    <definedName name="_xlnm.Print_Area" localSheetId="0">'Clase 1'!$A$1:$H$26</definedName>
    <definedName name="Sueldo">'Clase 1'!$E:$E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" i="1"/>
  <c r="D4" i="7"/>
  <c r="E4" i="7"/>
  <c r="F4" i="7"/>
  <c r="C4" i="7"/>
  <c r="G5" i="4"/>
  <c r="G6" i="4"/>
  <c r="G4" i="4"/>
  <c r="G5" i="3"/>
  <c r="G6" i="3"/>
  <c r="G4" i="3"/>
  <c r="F7" i="4"/>
  <c r="E7" i="4"/>
  <c r="D7" i="4"/>
  <c r="C7" i="4"/>
  <c r="D7" i="3"/>
  <c r="E7" i="3"/>
  <c r="F7" i="3"/>
  <c r="C7" i="3"/>
  <c r="E22" i="1"/>
  <c r="F22" i="1" s="1"/>
  <c r="G22" i="1" s="1"/>
  <c r="E23" i="1"/>
  <c r="F23" i="1" s="1"/>
  <c r="G23" i="1" s="1"/>
  <c r="E24" i="1"/>
  <c r="F24" i="1" s="1"/>
  <c r="G24" i="1" s="1"/>
  <c r="E25" i="1"/>
  <c r="F25" i="1" s="1"/>
  <c r="G25" i="1" s="1"/>
  <c r="E4" i="1"/>
  <c r="F4" i="1" s="1"/>
  <c r="G4" i="1" s="1"/>
  <c r="E3" i="1"/>
  <c r="F3" i="1" s="1"/>
  <c r="G3" i="1" s="1"/>
  <c r="D29" i="1"/>
  <c r="D28" i="1"/>
  <c r="D27" i="1"/>
  <c r="E5" i="1"/>
  <c r="F5" i="1" s="1"/>
  <c r="G5" i="1" s="1"/>
  <c r="E6" i="1"/>
  <c r="F6" i="1" s="1"/>
  <c r="G6" i="1" s="1"/>
  <c r="E7" i="1"/>
  <c r="F7" i="1" s="1"/>
  <c r="G7" i="1" s="1"/>
  <c r="E8" i="1"/>
  <c r="F8" i="1" s="1"/>
  <c r="G8" i="1" s="1"/>
  <c r="E9" i="1"/>
  <c r="F9" i="1" s="1"/>
  <c r="G9" i="1" s="1"/>
  <c r="E10" i="1"/>
  <c r="F10" i="1" s="1"/>
  <c r="E11" i="1"/>
  <c r="F11" i="1" s="1"/>
  <c r="G11" i="1" s="1"/>
  <c r="E12" i="1"/>
  <c r="F12" i="1" s="1"/>
  <c r="G12" i="1" s="1"/>
  <c r="E13" i="1"/>
  <c r="F13" i="1" s="1"/>
  <c r="G13" i="1" s="1"/>
  <c r="E14" i="1"/>
  <c r="F14" i="1" s="1"/>
  <c r="G14" i="1" s="1"/>
  <c r="E15" i="1"/>
  <c r="F15" i="1" s="1"/>
  <c r="G15" i="1" s="1"/>
  <c r="E16" i="1"/>
  <c r="F16" i="1" s="1"/>
  <c r="G16" i="1" s="1"/>
  <c r="E17" i="1"/>
  <c r="F17" i="1" s="1"/>
  <c r="G17" i="1" s="1"/>
  <c r="E18" i="1"/>
  <c r="F18" i="1" s="1"/>
  <c r="E19" i="1"/>
  <c r="F19" i="1" s="1"/>
  <c r="E20" i="1"/>
  <c r="F20" i="1" s="1"/>
  <c r="E21" i="1"/>
  <c r="F21" i="1" s="1"/>
  <c r="E2" i="1"/>
  <c r="F2" i="1" s="1"/>
  <c r="H21" i="1" l="1"/>
  <c r="H9" i="1"/>
  <c r="H20" i="1"/>
  <c r="H8" i="1"/>
  <c r="H19" i="1"/>
  <c r="H7" i="1"/>
  <c r="G10" i="1"/>
  <c r="H10" i="1" s="1"/>
  <c r="H14" i="1"/>
  <c r="H13" i="1"/>
  <c r="H12" i="1"/>
  <c r="H11" i="1"/>
  <c r="H2" i="1"/>
  <c r="H25" i="1"/>
  <c r="H24" i="1"/>
  <c r="H23" i="1"/>
  <c r="H22" i="1"/>
  <c r="H4" i="1"/>
  <c r="F28" i="1"/>
  <c r="G28" i="1" s="1"/>
  <c r="F27" i="1"/>
  <c r="G27" i="1" s="1"/>
  <c r="F26" i="1"/>
  <c r="G26" i="1" s="1"/>
  <c r="E26" i="1"/>
  <c r="H18" i="1"/>
  <c r="H6" i="1"/>
  <c r="H17" i="1"/>
  <c r="H5" i="1"/>
  <c r="H16" i="1"/>
  <c r="H15" i="1"/>
  <c r="H3" i="1"/>
  <c r="H26" i="1" l="1"/>
</calcChain>
</file>

<file path=xl/sharedStrings.xml><?xml version="1.0" encoding="utf-8"?>
<sst xmlns="http://schemas.openxmlformats.org/spreadsheetml/2006/main" count="66" uniqueCount="55">
  <si>
    <t>Salario</t>
  </si>
  <si>
    <t>Horas Trabajadas</t>
  </si>
  <si>
    <t>Nombre y Apellio</t>
  </si>
  <si>
    <t>Sueldo Antes de Taxes</t>
  </si>
  <si>
    <t>Natalia Flores</t>
  </si>
  <si>
    <t>Camila Urrea</t>
  </si>
  <si>
    <t>Andrea Sanchez</t>
  </si>
  <si>
    <t>Natalia Ardila</t>
  </si>
  <si>
    <t>Camila Zapata</t>
  </si>
  <si>
    <t>Lorena Rios</t>
  </si>
  <si>
    <t>Leonor Morales</t>
  </si>
  <si>
    <t>Carlos Restrepo</t>
  </si>
  <si>
    <t>Luciana Alvarez</t>
  </si>
  <si>
    <t>Sebastian Arcila</t>
  </si>
  <si>
    <t>Braulio Gonzalez</t>
  </si>
  <si>
    <t>Renata Medina</t>
  </si>
  <si>
    <t>Camila Claderon</t>
  </si>
  <si>
    <t>Paola Medina</t>
  </si>
  <si>
    <t>Carlos Calero</t>
  </si>
  <si>
    <t>Siro Carvajal</t>
  </si>
  <si>
    <t xml:space="preserve">Chayanne Martin </t>
  </si>
  <si>
    <t>Natalia Henao</t>
  </si>
  <si>
    <t>Cristian Urrego</t>
  </si>
  <si>
    <t>Daniela Perez</t>
  </si>
  <si>
    <t>Salario Mesual</t>
  </si>
  <si>
    <t>Taxes</t>
  </si>
  <si>
    <t>Pago Neto</t>
  </si>
  <si>
    <t>Total</t>
  </si>
  <si>
    <t>Abigail Carmona</t>
  </si>
  <si>
    <t>Santiago Perez</t>
  </si>
  <si>
    <t>Camilo Alarcon</t>
  </si>
  <si>
    <t>Mirian Delgado</t>
  </si>
  <si>
    <t>ID del Empleado</t>
  </si>
  <si>
    <t xml:space="preserve">Nombre </t>
  </si>
  <si>
    <t>Edad</t>
  </si>
  <si>
    <t xml:space="preserve">Maria </t>
  </si>
  <si>
    <t>Carlos</t>
  </si>
  <si>
    <t>Hipolito</t>
  </si>
  <si>
    <t>Libreria El Arte de Leer -Region Norte America</t>
  </si>
  <si>
    <t>Location</t>
  </si>
  <si>
    <t>USA</t>
  </si>
  <si>
    <t>Canada</t>
  </si>
  <si>
    <t>Mexico</t>
  </si>
  <si>
    <t>Total Trimestre</t>
  </si>
  <si>
    <t>Qtr 1</t>
  </si>
  <si>
    <t>Qtr 2</t>
  </si>
  <si>
    <t>Qtr 3</t>
  </si>
  <si>
    <t>Qtr 4</t>
  </si>
  <si>
    <t>Libreria El Arte de Leer -Region Sur America</t>
  </si>
  <si>
    <t>Argentina</t>
  </si>
  <si>
    <t>Colombia</t>
  </si>
  <si>
    <t>Bolivia</t>
  </si>
  <si>
    <t>Venta por Region</t>
  </si>
  <si>
    <t>Venta Por Region</t>
  </si>
  <si>
    <t>00.1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</si>
</sst>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ashDot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DotDot">
        <color indexed="64"/>
      </right>
      <top style="mediumDashed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dashDot">
        <color indexed="64"/>
      </left>
      <right/>
      <top/>
      <bottom style="double">
        <color theme="9" tint="0.39994506668294322"/>
      </bottom>
      <diagonal/>
    </border>
    <border>
      <left/>
      <right/>
      <top/>
      <bottom style="double">
        <color theme="9" tint="0.39994506668294322"/>
      </bottom>
      <diagonal/>
    </border>
    <border>
      <left/>
      <right style="mediumDashDotDot">
        <color indexed="64"/>
      </right>
      <top/>
      <bottom style="double">
        <color theme="9" tint="0.39994506668294322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0" xfId="0" applyAlignment="1">
      <alignment horizontal="right"/>
    </xf>
    <xf numFmtId="44" fontId="1" fillId="0" borderId="0" xfId="0" applyNumberFormat="1" applyFont="1" applyAlignment="1">
      <alignment horizontal="center"/>
    </xf>
    <xf numFmtId="44" fontId="0" fillId="0" borderId="0" xfId="0" applyNumberFormat="1"/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F1A4-A6F1-4A56-A158-8D85487FD264}">
  <dimension ref="A1:J29"/>
  <sheetViews>
    <sheetView tabSelected="1" zoomScale="126" zoomScaleNormal="126" workbookViewId="0">
      <selection activeCell="C12" sqref="C12"/>
    </sheetView>
  </sheetViews>
  <sheetFormatPr defaultRowHeight="15" x14ac:dyDescent="0.25"/>
  <cols>
    <col min="1" max="1" width="11" customWidth="1"/>
    <col min="2" max="2" width="15.28515625" bestFit="1" customWidth="1"/>
    <col min="3" max="3" width="19.7109375" style="14" customWidth="1"/>
    <col min="4" max="4" width="15.5703125" bestFit="1" customWidth="1"/>
    <col min="5" max="5" width="19.5703125" bestFit="1" customWidth="1"/>
    <col min="6" max="6" width="14.28515625" style="14" customWidth="1"/>
    <col min="7" max="7" width="20.42578125" customWidth="1"/>
    <col min="8" max="8" width="9.28515625" bestFit="1" customWidth="1"/>
  </cols>
  <sheetData>
    <row r="1" spans="1:10" s="2" customFormat="1" x14ac:dyDescent="0.25">
      <c r="A1" s="3" t="s">
        <v>32</v>
      </c>
      <c r="B1" s="2" t="s">
        <v>2</v>
      </c>
      <c r="C1" s="13" t="s">
        <v>0</v>
      </c>
      <c r="D1" s="2" t="s">
        <v>1</v>
      </c>
      <c r="E1" s="2" t="s">
        <v>3</v>
      </c>
      <c r="F1" s="13" t="s">
        <v>24</v>
      </c>
      <c r="G1" s="2" t="s">
        <v>25</v>
      </c>
      <c r="H1" s="2" t="s">
        <v>26</v>
      </c>
    </row>
    <row r="2" spans="1:10" x14ac:dyDescent="0.25">
      <c r="A2">
        <v>1</v>
      </c>
      <c r="B2" t="s">
        <v>4</v>
      </c>
      <c r="C2" s="14">
        <v>15</v>
      </c>
      <c r="D2">
        <v>40</v>
      </c>
      <c r="E2">
        <f>C2*D2</f>
        <v>600</v>
      </c>
      <c r="F2" s="14">
        <f t="shared" ref="F2:F25" si="0">E2*4</f>
        <v>2400</v>
      </c>
      <c r="G2" s="14">
        <f t="shared" ref="G2:G25" si="1">F2*$J$6</f>
        <v>576</v>
      </c>
      <c r="H2">
        <f t="shared" ref="H2:H25" si="2">F2-G2</f>
        <v>1824</v>
      </c>
    </row>
    <row r="3" spans="1:10" x14ac:dyDescent="0.25">
      <c r="A3">
        <v>2</v>
      </c>
      <c r="B3" t="s">
        <v>5</v>
      </c>
      <c r="C3" s="14">
        <v>16</v>
      </c>
      <c r="D3">
        <v>48</v>
      </c>
      <c r="E3">
        <f>C3*D3</f>
        <v>768</v>
      </c>
      <c r="F3" s="14">
        <f t="shared" si="0"/>
        <v>3072</v>
      </c>
      <c r="G3" s="14">
        <f t="shared" si="1"/>
        <v>737.28</v>
      </c>
      <c r="H3">
        <f t="shared" si="2"/>
        <v>2334.7200000000003</v>
      </c>
    </row>
    <row r="4" spans="1:10" x14ac:dyDescent="0.25">
      <c r="A4">
        <v>3</v>
      </c>
      <c r="B4" t="s">
        <v>6</v>
      </c>
      <c r="C4" s="14">
        <v>17</v>
      </c>
      <c r="D4">
        <v>46</v>
      </c>
      <c r="E4">
        <f>D8</f>
        <v>2</v>
      </c>
      <c r="F4" s="14">
        <f t="shared" si="0"/>
        <v>8</v>
      </c>
      <c r="G4" s="14">
        <f t="shared" si="1"/>
        <v>1.92</v>
      </c>
      <c r="H4">
        <f t="shared" si="2"/>
        <v>6.08</v>
      </c>
    </row>
    <row r="5" spans="1:10" x14ac:dyDescent="0.25">
      <c r="A5">
        <v>4</v>
      </c>
      <c r="B5" t="s">
        <v>7</v>
      </c>
      <c r="C5" s="14">
        <v>18</v>
      </c>
      <c r="D5">
        <v>20</v>
      </c>
      <c r="E5">
        <f t="shared" ref="E5:E25" si="3">C5*D5</f>
        <v>360</v>
      </c>
      <c r="F5" s="14">
        <f t="shared" si="0"/>
        <v>1440</v>
      </c>
      <c r="G5" s="14">
        <f t="shared" si="1"/>
        <v>345.59999999999997</v>
      </c>
      <c r="H5">
        <f t="shared" si="2"/>
        <v>1094.4000000000001</v>
      </c>
    </row>
    <row r="6" spans="1:10" x14ac:dyDescent="0.25">
      <c r="A6">
        <v>5</v>
      </c>
      <c r="B6" t="s">
        <v>8</v>
      </c>
      <c r="C6" s="14">
        <v>15</v>
      </c>
      <c r="D6">
        <v>10</v>
      </c>
      <c r="E6">
        <f t="shared" si="3"/>
        <v>150</v>
      </c>
      <c r="F6" s="14">
        <f t="shared" si="0"/>
        <v>600</v>
      </c>
      <c r="G6" s="14">
        <f t="shared" si="1"/>
        <v>144</v>
      </c>
      <c r="H6">
        <f t="shared" si="2"/>
        <v>456</v>
      </c>
      <c r="I6" t="s">
        <v>25</v>
      </c>
      <c r="J6">
        <v>0.24</v>
      </c>
    </row>
    <row r="7" spans="1:10" x14ac:dyDescent="0.25">
      <c r="A7">
        <v>6</v>
      </c>
      <c r="B7" t="s">
        <v>9</v>
      </c>
      <c r="C7" s="14">
        <v>16</v>
      </c>
      <c r="D7">
        <v>15</v>
      </c>
      <c r="E7">
        <f t="shared" si="3"/>
        <v>240</v>
      </c>
      <c r="F7" s="14">
        <f t="shared" si="0"/>
        <v>960</v>
      </c>
      <c r="G7" s="14">
        <f t="shared" si="1"/>
        <v>230.39999999999998</v>
      </c>
      <c r="H7">
        <f t="shared" si="2"/>
        <v>729.6</v>
      </c>
    </row>
    <row r="8" spans="1:10" x14ac:dyDescent="0.25">
      <c r="A8">
        <v>7</v>
      </c>
      <c r="B8" t="s">
        <v>10</v>
      </c>
      <c r="C8" s="14">
        <v>17</v>
      </c>
      <c r="D8">
        <v>2</v>
      </c>
      <c r="E8">
        <f t="shared" si="3"/>
        <v>34</v>
      </c>
      <c r="F8" s="14">
        <f t="shared" si="0"/>
        <v>136</v>
      </c>
      <c r="G8" s="14">
        <f t="shared" si="1"/>
        <v>32.64</v>
      </c>
      <c r="H8">
        <f t="shared" si="2"/>
        <v>103.36</v>
      </c>
    </row>
    <row r="9" spans="1:10" x14ac:dyDescent="0.25">
      <c r="A9">
        <v>8</v>
      </c>
      <c r="B9" t="s">
        <v>11</v>
      </c>
      <c r="C9" s="14">
        <v>18</v>
      </c>
      <c r="D9">
        <v>26</v>
      </c>
      <c r="E9">
        <f t="shared" si="3"/>
        <v>468</v>
      </c>
      <c r="F9" s="14">
        <f t="shared" si="0"/>
        <v>1872</v>
      </c>
      <c r="G9" s="14">
        <f t="shared" si="1"/>
        <v>449.28</v>
      </c>
      <c r="H9">
        <f t="shared" si="2"/>
        <v>1422.72</v>
      </c>
    </row>
    <row r="10" spans="1:10" x14ac:dyDescent="0.25">
      <c r="A10">
        <v>9</v>
      </c>
      <c r="B10" t="s">
        <v>12</v>
      </c>
      <c r="C10" s="14">
        <v>15</v>
      </c>
      <c r="D10">
        <v>40</v>
      </c>
      <c r="E10">
        <f t="shared" si="3"/>
        <v>600</v>
      </c>
      <c r="F10" s="14">
        <f t="shared" si="0"/>
        <v>2400</v>
      </c>
      <c r="G10" s="14">
        <f t="shared" si="1"/>
        <v>576</v>
      </c>
      <c r="H10">
        <f t="shared" si="2"/>
        <v>1824</v>
      </c>
      <c r="J10" s="15" t="s">
        <v>54</v>
      </c>
    </row>
    <row r="11" spans="1:10" x14ac:dyDescent="0.25">
      <c r="A11">
        <v>10</v>
      </c>
      <c r="B11" t="s">
        <v>13</v>
      </c>
      <c r="C11" s="14">
        <v>16</v>
      </c>
      <c r="D11">
        <v>40</v>
      </c>
      <c r="E11">
        <f t="shared" si="3"/>
        <v>640</v>
      </c>
      <c r="F11" s="14">
        <f t="shared" si="0"/>
        <v>2560</v>
      </c>
      <c r="G11" s="14">
        <f t="shared" si="1"/>
        <v>614.4</v>
      </c>
      <c r="H11">
        <f t="shared" si="2"/>
        <v>1945.6</v>
      </c>
      <c r="J11" s="1"/>
    </row>
    <row r="12" spans="1:10" x14ac:dyDescent="0.25">
      <c r="A12">
        <v>11</v>
      </c>
      <c r="B12" t="s">
        <v>14</v>
      </c>
      <c r="C12" s="14">
        <v>17</v>
      </c>
      <c r="D12">
        <v>58</v>
      </c>
      <c r="E12">
        <f t="shared" si="3"/>
        <v>986</v>
      </c>
      <c r="F12" s="14">
        <f t="shared" si="0"/>
        <v>3944</v>
      </c>
      <c r="G12" s="14">
        <f t="shared" si="1"/>
        <v>946.56</v>
      </c>
      <c r="H12">
        <f t="shared" si="2"/>
        <v>2997.44</v>
      </c>
    </row>
    <row r="13" spans="1:10" x14ac:dyDescent="0.25">
      <c r="A13">
        <v>12</v>
      </c>
      <c r="B13" t="s">
        <v>15</v>
      </c>
      <c r="C13" s="14">
        <v>18</v>
      </c>
      <c r="D13">
        <v>48</v>
      </c>
      <c r="E13">
        <f t="shared" si="3"/>
        <v>864</v>
      </c>
      <c r="F13" s="14">
        <f t="shared" si="0"/>
        <v>3456</v>
      </c>
      <c r="G13" s="14">
        <f t="shared" si="1"/>
        <v>829.43999999999994</v>
      </c>
      <c r="H13">
        <f t="shared" si="2"/>
        <v>2626.56</v>
      </c>
    </row>
    <row r="14" spans="1:10" x14ac:dyDescent="0.25">
      <c r="A14">
        <v>13</v>
      </c>
      <c r="B14" t="s">
        <v>16</v>
      </c>
      <c r="C14" s="14">
        <v>15</v>
      </c>
      <c r="D14">
        <v>49</v>
      </c>
      <c r="E14">
        <f t="shared" si="3"/>
        <v>735</v>
      </c>
      <c r="F14" s="14">
        <f t="shared" si="0"/>
        <v>2940</v>
      </c>
      <c r="G14" s="14">
        <f t="shared" si="1"/>
        <v>705.6</v>
      </c>
      <c r="H14">
        <f t="shared" si="2"/>
        <v>2234.4</v>
      </c>
    </row>
    <row r="15" spans="1:10" x14ac:dyDescent="0.25">
      <c r="A15">
        <v>14</v>
      </c>
      <c r="B15" t="s">
        <v>17</v>
      </c>
      <c r="C15" s="14">
        <v>16</v>
      </c>
      <c r="D15">
        <v>42</v>
      </c>
      <c r="E15">
        <f t="shared" si="3"/>
        <v>672</v>
      </c>
      <c r="F15" s="14">
        <f t="shared" si="0"/>
        <v>2688</v>
      </c>
      <c r="G15" s="14">
        <f t="shared" si="1"/>
        <v>645.12</v>
      </c>
      <c r="H15">
        <f t="shared" si="2"/>
        <v>2042.88</v>
      </c>
    </row>
    <row r="16" spans="1:10" x14ac:dyDescent="0.25">
      <c r="A16">
        <v>15</v>
      </c>
      <c r="B16" t="s">
        <v>18</v>
      </c>
      <c r="C16" s="14">
        <v>17</v>
      </c>
      <c r="D16">
        <v>34</v>
      </c>
      <c r="E16">
        <f t="shared" si="3"/>
        <v>578</v>
      </c>
      <c r="F16" s="14">
        <f t="shared" si="0"/>
        <v>2312</v>
      </c>
      <c r="G16" s="14">
        <f t="shared" si="1"/>
        <v>554.88</v>
      </c>
      <c r="H16">
        <f t="shared" si="2"/>
        <v>1757.12</v>
      </c>
    </row>
    <row r="17" spans="1:8" x14ac:dyDescent="0.25">
      <c r="A17">
        <v>16</v>
      </c>
      <c r="B17" t="s">
        <v>19</v>
      </c>
      <c r="C17" s="14">
        <v>18</v>
      </c>
      <c r="D17">
        <v>20</v>
      </c>
      <c r="E17">
        <f t="shared" si="3"/>
        <v>360</v>
      </c>
      <c r="F17" s="14">
        <f t="shared" si="0"/>
        <v>1440</v>
      </c>
      <c r="G17" s="14">
        <f t="shared" si="1"/>
        <v>345.59999999999997</v>
      </c>
      <c r="H17">
        <f t="shared" si="2"/>
        <v>1094.4000000000001</v>
      </c>
    </row>
    <row r="18" spans="1:8" x14ac:dyDescent="0.25">
      <c r="A18">
        <v>17</v>
      </c>
      <c r="B18" t="s">
        <v>20</v>
      </c>
      <c r="C18" s="14">
        <v>15</v>
      </c>
      <c r="D18">
        <v>26</v>
      </c>
      <c r="E18">
        <f t="shared" si="3"/>
        <v>390</v>
      </c>
      <c r="F18" s="14">
        <f t="shared" si="0"/>
        <v>1560</v>
      </c>
      <c r="G18" s="14">
        <f t="shared" si="1"/>
        <v>374.4</v>
      </c>
      <c r="H18">
        <f t="shared" si="2"/>
        <v>1185.5999999999999</v>
      </c>
    </row>
    <row r="19" spans="1:8" x14ac:dyDescent="0.25">
      <c r="A19">
        <v>18</v>
      </c>
      <c r="B19" t="s">
        <v>21</v>
      </c>
      <c r="C19" s="14">
        <v>16</v>
      </c>
      <c r="D19">
        <v>18</v>
      </c>
      <c r="E19">
        <f t="shared" si="3"/>
        <v>288</v>
      </c>
      <c r="F19" s="14">
        <f t="shared" si="0"/>
        <v>1152</v>
      </c>
      <c r="G19" s="14">
        <f t="shared" si="1"/>
        <v>276.48</v>
      </c>
      <c r="H19">
        <f t="shared" si="2"/>
        <v>875.52</v>
      </c>
    </row>
    <row r="20" spans="1:8" x14ac:dyDescent="0.25">
      <c r="A20">
        <v>19</v>
      </c>
      <c r="B20" t="s">
        <v>22</v>
      </c>
      <c r="C20" s="14">
        <v>17</v>
      </c>
      <c r="D20">
        <v>19</v>
      </c>
      <c r="E20">
        <f t="shared" si="3"/>
        <v>323</v>
      </c>
      <c r="F20" s="14">
        <f t="shared" si="0"/>
        <v>1292</v>
      </c>
      <c r="G20" s="14">
        <f t="shared" si="1"/>
        <v>310.08</v>
      </c>
      <c r="H20">
        <f t="shared" si="2"/>
        <v>981.92000000000007</v>
      </c>
    </row>
    <row r="21" spans="1:8" x14ac:dyDescent="0.25">
      <c r="A21">
        <v>20</v>
      </c>
      <c r="B21" t="s">
        <v>23</v>
      </c>
      <c r="C21" s="14">
        <v>18</v>
      </c>
      <c r="D21">
        <v>35</v>
      </c>
      <c r="E21">
        <f t="shared" si="3"/>
        <v>630</v>
      </c>
      <c r="F21" s="14">
        <f t="shared" si="0"/>
        <v>2520</v>
      </c>
      <c r="G21" s="14">
        <f t="shared" si="1"/>
        <v>604.79999999999995</v>
      </c>
      <c r="H21">
        <f t="shared" si="2"/>
        <v>1915.2</v>
      </c>
    </row>
    <row r="22" spans="1:8" x14ac:dyDescent="0.25">
      <c r="A22">
        <v>21</v>
      </c>
      <c r="B22" t="s">
        <v>28</v>
      </c>
      <c r="C22" s="14">
        <v>15</v>
      </c>
      <c r="D22">
        <v>26</v>
      </c>
      <c r="E22">
        <f t="shared" si="3"/>
        <v>390</v>
      </c>
      <c r="F22" s="14">
        <f t="shared" si="0"/>
        <v>1560</v>
      </c>
      <c r="G22" s="14">
        <f t="shared" si="1"/>
        <v>374.4</v>
      </c>
      <c r="H22">
        <f t="shared" si="2"/>
        <v>1185.5999999999999</v>
      </c>
    </row>
    <row r="23" spans="1:8" x14ac:dyDescent="0.25">
      <c r="A23">
        <v>22</v>
      </c>
      <c r="B23" t="s">
        <v>29</v>
      </c>
      <c r="C23" s="14">
        <v>16</v>
      </c>
      <c r="D23">
        <v>18</v>
      </c>
      <c r="E23">
        <f t="shared" si="3"/>
        <v>288</v>
      </c>
      <c r="F23" s="14">
        <f t="shared" si="0"/>
        <v>1152</v>
      </c>
      <c r="G23" s="14">
        <f t="shared" si="1"/>
        <v>276.48</v>
      </c>
      <c r="H23">
        <f t="shared" si="2"/>
        <v>875.52</v>
      </c>
    </row>
    <row r="24" spans="1:8" x14ac:dyDescent="0.25">
      <c r="A24">
        <v>23</v>
      </c>
      <c r="B24" t="s">
        <v>30</v>
      </c>
      <c r="C24" s="14">
        <v>17</v>
      </c>
      <c r="D24">
        <v>19</v>
      </c>
      <c r="E24">
        <f t="shared" si="3"/>
        <v>323</v>
      </c>
      <c r="F24" s="14">
        <f t="shared" si="0"/>
        <v>1292</v>
      </c>
      <c r="G24" s="14">
        <f t="shared" si="1"/>
        <v>310.08</v>
      </c>
      <c r="H24">
        <f t="shared" si="2"/>
        <v>981.92000000000007</v>
      </c>
    </row>
    <row r="25" spans="1:8" x14ac:dyDescent="0.25">
      <c r="A25">
        <v>24</v>
      </c>
      <c r="B25" t="s">
        <v>31</v>
      </c>
      <c r="C25" s="14">
        <v>18</v>
      </c>
      <c r="D25">
        <v>35</v>
      </c>
      <c r="E25">
        <f t="shared" si="3"/>
        <v>630</v>
      </c>
      <c r="F25" s="14">
        <f t="shared" si="0"/>
        <v>2520</v>
      </c>
      <c r="G25" s="14">
        <f t="shared" si="1"/>
        <v>604.79999999999995</v>
      </c>
      <c r="H25">
        <f t="shared" si="2"/>
        <v>1915.2</v>
      </c>
    </row>
    <row r="26" spans="1:8" x14ac:dyDescent="0.25">
      <c r="D26" t="s">
        <v>27</v>
      </c>
      <c r="E26">
        <f>SUM(E2:E21)</f>
        <v>9688</v>
      </c>
      <c r="F26" s="14">
        <f>SUM(F2:F21)</f>
        <v>38752</v>
      </c>
      <c r="G26" s="14">
        <f>F26*$J$6</f>
        <v>9300.48</v>
      </c>
      <c r="H26">
        <f>F26-G26</f>
        <v>29451.52</v>
      </c>
    </row>
    <row r="27" spans="1:8" x14ac:dyDescent="0.25">
      <c r="D27">
        <f>AVERAGE(D2:D21)</f>
        <v>31.8</v>
      </c>
      <c r="F27" s="14">
        <f>AVERAGE(F2:F21)</f>
        <v>1937.6</v>
      </c>
      <c r="G27" s="14">
        <f>F27*$J$6</f>
        <v>465.02399999999994</v>
      </c>
    </row>
    <row r="28" spans="1:8" x14ac:dyDescent="0.25">
      <c r="D28">
        <f>MAX(D2:D21)</f>
        <v>58</v>
      </c>
      <c r="F28" s="14">
        <f>MAX(F2:F21)</f>
        <v>3944</v>
      </c>
      <c r="G28" s="14">
        <f>F28*$J$6</f>
        <v>946.56</v>
      </c>
    </row>
    <row r="29" spans="1:8" x14ac:dyDescent="0.25">
      <c r="D29">
        <f>MIN(D2:D21)</f>
        <v>2</v>
      </c>
    </row>
  </sheetData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59AD-B27A-4646-9E5B-DC838803BDB9}">
  <dimension ref="A1:B4"/>
  <sheetViews>
    <sheetView topLeftCell="A12" workbookViewId="0"/>
  </sheetViews>
  <sheetFormatPr defaultRowHeight="15" x14ac:dyDescent="0.25"/>
  <cols>
    <col min="4" max="4" width="7.7109375" bestFit="1" customWidth="1"/>
  </cols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>
        <v>20</v>
      </c>
    </row>
    <row r="3" spans="1:2" x14ac:dyDescent="0.25">
      <c r="A3" t="s">
        <v>36</v>
      </c>
      <c r="B3">
        <v>14</v>
      </c>
    </row>
    <row r="4" spans="1:2" x14ac:dyDescent="0.25">
      <c r="A4" t="s">
        <v>37</v>
      </c>
      <c r="B4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719F-2734-4195-818E-B1C45B63EE11}">
  <sheetPr>
    <tabColor theme="6" tint="0.39997558519241921"/>
  </sheetPr>
  <dimension ref="A1:G8"/>
  <sheetViews>
    <sheetView topLeftCell="G1" zoomScale="261" zoomScaleNormal="261" workbookViewId="0">
      <selection activeCell="I5" sqref="I5"/>
    </sheetView>
  </sheetViews>
  <sheetFormatPr defaultRowHeight="15" x14ac:dyDescent="0.25"/>
  <cols>
    <col min="1" max="1" width="8.85546875" style="12"/>
    <col min="7" max="7" width="14.5703125" bestFit="1" customWidth="1"/>
  </cols>
  <sheetData>
    <row r="1" spans="1:7" ht="15.75" thickBot="1" x14ac:dyDescent="0.3">
      <c r="A1" s="16" t="s">
        <v>38</v>
      </c>
      <c r="B1" s="17"/>
      <c r="C1" s="17"/>
      <c r="D1" s="17"/>
      <c r="E1" s="17"/>
      <c r="F1" s="17"/>
      <c r="G1" s="18"/>
    </row>
    <row r="2" spans="1:7" x14ac:dyDescent="0.25">
      <c r="A2" s="9"/>
      <c r="B2" s="4"/>
      <c r="C2" s="4"/>
      <c r="D2" s="4"/>
      <c r="E2" s="4"/>
      <c r="F2" s="4"/>
      <c r="G2" s="5"/>
    </row>
    <row r="3" spans="1:7" x14ac:dyDescent="0.25">
      <c r="A3" s="10" t="s">
        <v>39</v>
      </c>
      <c r="C3" t="s">
        <v>44</v>
      </c>
      <c r="D3" t="s">
        <v>45</v>
      </c>
      <c r="E3" t="s">
        <v>46</v>
      </c>
      <c r="F3" t="s">
        <v>47</v>
      </c>
      <c r="G3" s="6" t="s">
        <v>52</v>
      </c>
    </row>
    <row r="4" spans="1:7" x14ac:dyDescent="0.25">
      <c r="A4" s="10" t="s">
        <v>40</v>
      </c>
      <c r="C4">
        <v>1500</v>
      </c>
      <c r="D4">
        <v>1500</v>
      </c>
      <c r="E4">
        <v>3000</v>
      </c>
      <c r="F4">
        <v>400</v>
      </c>
      <c r="G4" s="6">
        <f>SUM(C4:F4)</f>
        <v>6400</v>
      </c>
    </row>
    <row r="5" spans="1:7" x14ac:dyDescent="0.25">
      <c r="A5" s="10" t="s">
        <v>41</v>
      </c>
      <c r="C5">
        <v>1500</v>
      </c>
      <c r="D5">
        <v>1000</v>
      </c>
      <c r="E5">
        <v>2500</v>
      </c>
      <c r="F5">
        <v>1600</v>
      </c>
      <c r="G5" s="6">
        <f>SUM(C5:F5)</f>
        <v>6600</v>
      </c>
    </row>
    <row r="6" spans="1:7" x14ac:dyDescent="0.25">
      <c r="A6" s="10" t="s">
        <v>42</v>
      </c>
      <c r="C6">
        <v>1100</v>
      </c>
      <c r="D6">
        <v>1300</v>
      </c>
      <c r="E6">
        <v>1800</v>
      </c>
      <c r="F6">
        <v>2000</v>
      </c>
      <c r="G6" s="6">
        <f>SUM(C6:F6)</f>
        <v>6200</v>
      </c>
    </row>
    <row r="7" spans="1:7" ht="15.75" thickBot="1" x14ac:dyDescent="0.3">
      <c r="A7" s="11" t="s">
        <v>43</v>
      </c>
      <c r="B7" s="7"/>
      <c r="C7" s="7">
        <f>SUM(C4:C6)</f>
        <v>4100</v>
      </c>
      <c r="D7" s="7">
        <f>SUM(D4:D6)</f>
        <v>3800</v>
      </c>
      <c r="E7" s="7">
        <f>SUM(E4:E6)</f>
        <v>7300</v>
      </c>
      <c r="F7" s="7">
        <f>SUM(F4:F6)</f>
        <v>4000</v>
      </c>
      <c r="G7" s="8"/>
    </row>
    <row r="8" spans="1:7" ht="15.75" thickTop="1" x14ac:dyDescent="0.25"/>
  </sheetData>
  <mergeCells count="1">
    <mergeCell ref="A1:G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E859-56B6-47A8-95D1-B69A613AEA4C}">
  <sheetPr>
    <tabColor theme="8" tint="0.39997558519241921"/>
  </sheetPr>
  <dimension ref="A1:G7"/>
  <sheetViews>
    <sheetView zoomScale="194" zoomScaleNormal="194" workbookViewId="0">
      <selection activeCell="C1" sqref="C1:G1048576"/>
    </sheetView>
  </sheetViews>
  <sheetFormatPr defaultRowHeight="15" x14ac:dyDescent="0.25"/>
  <cols>
    <col min="7" max="7" width="14.7109375" bestFit="1" customWidth="1"/>
  </cols>
  <sheetData>
    <row r="1" spans="1:7" x14ac:dyDescent="0.25">
      <c r="A1" t="s">
        <v>48</v>
      </c>
    </row>
    <row r="3" spans="1:7" x14ac:dyDescent="0.25">
      <c r="A3" t="s">
        <v>39</v>
      </c>
      <c r="C3" t="s">
        <v>44</v>
      </c>
      <c r="D3" t="s">
        <v>45</v>
      </c>
      <c r="E3" t="s">
        <v>46</v>
      </c>
      <c r="F3" t="s">
        <v>47</v>
      </c>
      <c r="G3" t="s">
        <v>53</v>
      </c>
    </row>
    <row r="4" spans="1:7" x14ac:dyDescent="0.25">
      <c r="A4" t="s">
        <v>49</v>
      </c>
      <c r="C4">
        <v>1200</v>
      </c>
      <c r="D4">
        <v>1300</v>
      </c>
      <c r="E4">
        <v>2200</v>
      </c>
      <c r="F4">
        <v>2000</v>
      </c>
      <c r="G4">
        <f>SUM(C4:F4)</f>
        <v>6700</v>
      </c>
    </row>
    <row r="5" spans="1:7" x14ac:dyDescent="0.25">
      <c r="A5" t="s">
        <v>50</v>
      </c>
      <c r="C5">
        <v>1500</v>
      </c>
      <c r="D5">
        <v>1000</v>
      </c>
      <c r="E5">
        <v>700</v>
      </c>
      <c r="F5">
        <v>1300</v>
      </c>
      <c r="G5">
        <f>SUM(C5:F5)</f>
        <v>4500</v>
      </c>
    </row>
    <row r="6" spans="1:7" x14ac:dyDescent="0.25">
      <c r="A6" t="s">
        <v>51</v>
      </c>
      <c r="C6">
        <v>900</v>
      </c>
      <c r="D6">
        <v>1000</v>
      </c>
      <c r="E6">
        <v>1400</v>
      </c>
      <c r="F6">
        <v>1700</v>
      </c>
      <c r="G6">
        <f>SUM(C6:F6)</f>
        <v>5000</v>
      </c>
    </row>
    <row r="7" spans="1:7" x14ac:dyDescent="0.25">
      <c r="A7" t="s">
        <v>43</v>
      </c>
      <c r="C7">
        <f>SUM(C4:C6)</f>
        <v>3600</v>
      </c>
      <c r="D7">
        <f>SUM(D4:D6)</f>
        <v>3300</v>
      </c>
      <c r="E7">
        <f>SUM(E4:E6)</f>
        <v>4300</v>
      </c>
      <c r="F7">
        <f>SUM(F4:F6)</f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9D62-F8CE-43B4-A5F4-EC2CA7F5A269}">
  <sheetPr>
    <tabColor theme="7" tint="0.39997558519241921"/>
  </sheetPr>
  <dimension ref="C3:F4"/>
  <sheetViews>
    <sheetView workbookViewId="0">
      <selection activeCell="K21" sqref="K21"/>
    </sheetView>
  </sheetViews>
  <sheetFormatPr defaultRowHeight="15" x14ac:dyDescent="0.25"/>
  <sheetData>
    <row r="3" spans="3:6" x14ac:dyDescent="0.25">
      <c r="C3" t="s">
        <v>44</v>
      </c>
      <c r="D3" t="s">
        <v>45</v>
      </c>
      <c r="E3" t="s">
        <v>46</v>
      </c>
      <c r="F3" t="s">
        <v>47</v>
      </c>
    </row>
    <row r="4" spans="3:6" x14ac:dyDescent="0.25">
      <c r="C4">
        <f>'Ventas Norte-America'!C7+'Ventas Suramenrica'!C7</f>
        <v>7700</v>
      </c>
      <c r="D4">
        <f>'Ventas Norte-America'!D7+'Ventas Suramenrica'!D7</f>
        <v>7100</v>
      </c>
      <c r="E4">
        <f>'Ventas Norte-America'!E7+'Ventas Suramenrica'!E7</f>
        <v>11600</v>
      </c>
      <c r="F4">
        <f>'Ventas Norte-America'!F7+'Ventas Suramenrica'!F7</f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Clase 1</vt:lpstr>
      <vt:lpstr>Clase 2</vt:lpstr>
      <vt:lpstr>Ventas Norte-America</vt:lpstr>
      <vt:lpstr>Ventas Suramenrica</vt:lpstr>
      <vt:lpstr>Ventas Totales</vt:lpstr>
      <vt:lpstr>Numero_de_empleados</vt:lpstr>
      <vt:lpstr>'Clase 1'!Print_Area</vt:lpstr>
      <vt:lpstr>Sueldo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Torres</dc:creator>
  <cp:lastModifiedBy>Catherine Torres</cp:lastModifiedBy>
  <cp:lastPrinted>2025-03-13T22:16:35Z</cp:lastPrinted>
  <dcterms:created xsi:type="dcterms:W3CDTF">2025-01-22T22:38:08Z</dcterms:created>
  <dcterms:modified xsi:type="dcterms:W3CDTF">2025-03-26T18:37:45Z</dcterms:modified>
</cp:coreProperties>
</file>