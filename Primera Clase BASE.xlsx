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chelseacollaborative-my.sharepoint.com/personal/catherinet_chelseacollaborative_onmicrosoft_com/Documents/Desktop/"/>
    </mc:Choice>
  </mc:AlternateContent>
  <xr:revisionPtr revIDLastSave="377" documentId="13_ncr:1_{CF66B416-C280-4AE8-ACC4-BD450AB32E61}" xr6:coauthVersionLast="47" xr6:coauthVersionMax="47" xr10:uidLastSave="{ACA38D3D-F817-4471-8628-8BA1B878C17A}"/>
  <bookViews>
    <workbookView xWindow="-108" yWindow="-108" windowWidth="23256" windowHeight="12456" tabRatio="809" xr2:uid="{00000000-000D-0000-FFFF-FFFF00000000}"/>
  </bookViews>
  <sheets>
    <sheet name="Base de Datos RRHH (2)" sheetId="26" r:id="rId1"/>
    <sheet name="Class 1" sheetId="27" r:id="rId2"/>
    <sheet name="Sheet3" sheetId="29" r:id="rId3"/>
    <sheet name="Sheet2" sheetId="28" r:id="rId4"/>
    <sheet name="Base de Datos RRHH" sheetId="25" r:id="rId5"/>
  </sheets>
  <definedNames>
    <definedName name="_xlnm._FilterDatabase" localSheetId="4" hidden="1">'Base de Datos RRHH'!$A$1:$I$208</definedName>
    <definedName name="_xlnm._FilterDatabase" localSheetId="0" hidden="1">'Base de Datos RRHH (2)'!$A$1:$I$208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6" i="27" l="1"/>
  <c r="E16" i="27"/>
  <c r="F15" i="27"/>
  <c r="E15" i="27"/>
  <c r="F14" i="27"/>
  <c r="E14" i="27"/>
  <c r="F13" i="27"/>
  <c r="E13" i="27"/>
  <c r="F12" i="27"/>
  <c r="E12" i="27"/>
  <c r="F11" i="27"/>
  <c r="E11" i="27"/>
  <c r="F10" i="27"/>
  <c r="E10" i="27"/>
  <c r="F9" i="27"/>
  <c r="E9" i="27"/>
  <c r="F8" i="27"/>
  <c r="E8" i="27"/>
  <c r="F7" i="27"/>
  <c r="E7" i="27"/>
  <c r="F6" i="27"/>
  <c r="E6" i="27"/>
  <c r="F5" i="27"/>
  <c r="E5" i="27"/>
  <c r="F4" i="27"/>
  <c r="E4" i="27"/>
  <c r="F3" i="27"/>
  <c r="E3" i="27"/>
  <c r="F2" i="27"/>
  <c r="E2" i="27"/>
  <c r="F3" i="25"/>
  <c r="N3" i="25"/>
  <c r="N4" i="25"/>
  <c r="N5" i="25"/>
  <c r="N2" i="25"/>
  <c r="M4" i="25"/>
  <c r="M5" i="25"/>
  <c r="M3" i="25"/>
  <c r="M2" i="25"/>
  <c r="E6" i="25"/>
  <c r="F6" i="25"/>
  <c r="J6" i="25"/>
  <c r="E7" i="25"/>
  <c r="F7" i="25"/>
  <c r="J7" i="25"/>
  <c r="E8" i="25"/>
  <c r="F8" i="25"/>
  <c r="J8" i="25"/>
  <c r="E9" i="25"/>
  <c r="F9" i="25"/>
  <c r="J9" i="25"/>
  <c r="E10" i="25"/>
  <c r="F10" i="25"/>
  <c r="J10" i="25"/>
  <c r="E11" i="25"/>
  <c r="F11" i="25"/>
  <c r="J11" i="25"/>
  <c r="E12" i="25"/>
  <c r="F12" i="25"/>
  <c r="J12" i="25"/>
  <c r="E13" i="25"/>
  <c r="F13" i="25"/>
  <c r="J13" i="25"/>
  <c r="E14" i="25"/>
  <c r="F14" i="25"/>
  <c r="J14" i="25"/>
  <c r="E15" i="25"/>
  <c r="F15" i="25"/>
  <c r="J15" i="25"/>
  <c r="E16" i="25"/>
  <c r="F16" i="25"/>
  <c r="J16" i="25"/>
  <c r="E17" i="25"/>
  <c r="F17" i="25"/>
  <c r="J17" i="25"/>
  <c r="E18" i="25"/>
  <c r="F18" i="25"/>
  <c r="J18" i="25"/>
  <c r="E19" i="25"/>
  <c r="F19" i="25"/>
  <c r="J19" i="25"/>
  <c r="E20" i="25"/>
  <c r="F20" i="25"/>
  <c r="J20" i="25"/>
  <c r="E21" i="25"/>
  <c r="J21" i="25"/>
  <c r="E22" i="25"/>
  <c r="F22" i="25"/>
  <c r="J22" i="25"/>
  <c r="E23" i="25"/>
  <c r="F23" i="25"/>
  <c r="J23" i="25"/>
  <c r="E24" i="25"/>
  <c r="F24" i="25"/>
  <c r="J24" i="25"/>
  <c r="E25" i="25"/>
  <c r="F25" i="25"/>
  <c r="J25" i="25"/>
  <c r="E26" i="25"/>
  <c r="F26" i="25"/>
  <c r="J26" i="25"/>
  <c r="E27" i="25"/>
  <c r="F27" i="25"/>
  <c r="J27" i="25"/>
  <c r="E28" i="25"/>
  <c r="F28" i="25"/>
  <c r="J28" i="25"/>
  <c r="E29" i="25"/>
  <c r="F29" i="25"/>
  <c r="J29" i="25"/>
  <c r="E30" i="25"/>
  <c r="F30" i="25"/>
  <c r="J30" i="25"/>
  <c r="E31" i="25"/>
  <c r="F31" i="25"/>
  <c r="J31" i="25"/>
  <c r="E32" i="25"/>
  <c r="F32" i="25"/>
  <c r="J32" i="25"/>
  <c r="E33" i="25"/>
  <c r="F33" i="25"/>
  <c r="J33" i="25"/>
  <c r="E34" i="25"/>
  <c r="F34" i="25"/>
  <c r="J34" i="25"/>
  <c r="E35" i="25"/>
  <c r="F35" i="25"/>
  <c r="J35" i="25"/>
  <c r="E36" i="25"/>
  <c r="F36" i="25"/>
  <c r="J36" i="25"/>
  <c r="E37" i="25"/>
  <c r="F37" i="25"/>
  <c r="J37" i="25"/>
  <c r="E38" i="25"/>
  <c r="F38" i="25"/>
  <c r="J38" i="25"/>
  <c r="E39" i="25"/>
  <c r="F39" i="25"/>
  <c r="J39" i="25"/>
  <c r="E40" i="25"/>
  <c r="F40" i="25"/>
  <c r="J40" i="25"/>
  <c r="E41" i="25"/>
  <c r="F41" i="25"/>
  <c r="J41" i="25"/>
  <c r="E42" i="25"/>
  <c r="F42" i="25"/>
  <c r="J42" i="25"/>
  <c r="E43" i="25"/>
  <c r="F43" i="25"/>
  <c r="J43" i="25"/>
  <c r="E44" i="25"/>
  <c r="F44" i="25"/>
  <c r="J44" i="25"/>
  <c r="E45" i="25"/>
  <c r="F45" i="25"/>
  <c r="J45" i="25"/>
  <c r="E46" i="25"/>
  <c r="F46" i="25"/>
  <c r="J46" i="25"/>
  <c r="E47" i="25"/>
  <c r="F47" i="25"/>
  <c r="J47" i="25"/>
  <c r="E48" i="25"/>
  <c r="F48" i="25"/>
  <c r="J48" i="25"/>
  <c r="E49" i="25"/>
  <c r="F49" i="25"/>
  <c r="J49" i="25"/>
  <c r="E50" i="25"/>
  <c r="F50" i="25"/>
  <c r="J50" i="25"/>
  <c r="E51" i="25"/>
  <c r="F51" i="25"/>
  <c r="J51" i="25"/>
  <c r="E52" i="25"/>
  <c r="F52" i="25"/>
  <c r="J52" i="25"/>
  <c r="E53" i="25"/>
  <c r="F53" i="25"/>
  <c r="J53" i="25"/>
  <c r="E54" i="25"/>
  <c r="F54" i="25"/>
  <c r="J54" i="25"/>
  <c r="E55" i="25"/>
  <c r="F55" i="25"/>
  <c r="J55" i="25"/>
  <c r="E56" i="25"/>
  <c r="F56" i="25"/>
  <c r="J56" i="25"/>
  <c r="E57" i="25"/>
  <c r="F57" i="25"/>
  <c r="J57" i="25"/>
  <c r="E58" i="25"/>
  <c r="F58" i="25"/>
  <c r="J58" i="25"/>
  <c r="E59" i="25"/>
  <c r="F59" i="25"/>
  <c r="J59" i="25"/>
  <c r="E60" i="25"/>
  <c r="F60" i="25"/>
  <c r="J60" i="25"/>
  <c r="E61" i="25"/>
  <c r="F61" i="25"/>
  <c r="J61" i="25"/>
  <c r="E62" i="25"/>
  <c r="F62" i="25"/>
  <c r="J62" i="25"/>
  <c r="E63" i="25"/>
  <c r="F63" i="25"/>
  <c r="J63" i="25"/>
  <c r="E64" i="25"/>
  <c r="F64" i="25"/>
  <c r="J64" i="25"/>
  <c r="E65" i="25"/>
  <c r="F65" i="25"/>
  <c r="J65" i="25"/>
  <c r="E66" i="25"/>
  <c r="F66" i="25"/>
  <c r="J66" i="25"/>
  <c r="E67" i="25"/>
  <c r="F67" i="25"/>
  <c r="J67" i="25"/>
  <c r="E68" i="25"/>
  <c r="F68" i="25"/>
  <c r="J68" i="25"/>
  <c r="E69" i="25"/>
  <c r="F69" i="25"/>
  <c r="J69" i="25"/>
  <c r="E70" i="25"/>
  <c r="F70" i="25"/>
  <c r="J70" i="25"/>
  <c r="E71" i="25"/>
  <c r="F71" i="25"/>
  <c r="J71" i="25"/>
  <c r="E72" i="25"/>
  <c r="F72" i="25"/>
  <c r="J72" i="25"/>
  <c r="E73" i="25"/>
  <c r="F73" i="25"/>
  <c r="J73" i="25"/>
  <c r="E74" i="25"/>
  <c r="F74" i="25"/>
  <c r="J74" i="25"/>
  <c r="E75" i="25"/>
  <c r="F75" i="25"/>
  <c r="J75" i="25"/>
  <c r="E76" i="25"/>
  <c r="F76" i="25"/>
  <c r="J76" i="25"/>
  <c r="E77" i="25"/>
  <c r="F77" i="25"/>
  <c r="J77" i="25"/>
  <c r="E78" i="25"/>
  <c r="F78" i="25"/>
  <c r="J78" i="25"/>
  <c r="E79" i="25"/>
  <c r="F79" i="25"/>
  <c r="J79" i="25"/>
  <c r="E80" i="25"/>
  <c r="F80" i="25"/>
  <c r="J80" i="25"/>
  <c r="E81" i="25"/>
  <c r="F81" i="25"/>
  <c r="J81" i="25"/>
  <c r="E82" i="25"/>
  <c r="F82" i="25"/>
  <c r="J82" i="25"/>
  <c r="E83" i="25"/>
  <c r="F83" i="25"/>
  <c r="J83" i="25"/>
  <c r="E84" i="25"/>
  <c r="F84" i="25"/>
  <c r="J84" i="25"/>
  <c r="E85" i="25"/>
  <c r="F85" i="25"/>
  <c r="J85" i="25"/>
  <c r="E86" i="25"/>
  <c r="F86" i="25"/>
  <c r="J86" i="25"/>
  <c r="E87" i="25"/>
  <c r="F87" i="25"/>
  <c r="J87" i="25"/>
  <c r="E88" i="25"/>
  <c r="F88" i="25"/>
  <c r="J88" i="25"/>
  <c r="E89" i="25"/>
  <c r="F89" i="25"/>
  <c r="J89" i="25"/>
  <c r="E90" i="25"/>
  <c r="F90" i="25"/>
  <c r="J90" i="25"/>
  <c r="E91" i="25"/>
  <c r="F91" i="25"/>
  <c r="J91" i="25"/>
  <c r="E92" i="25"/>
  <c r="F92" i="25"/>
  <c r="J92" i="25"/>
  <c r="E93" i="25"/>
  <c r="F93" i="25"/>
  <c r="J93" i="25"/>
  <c r="E94" i="25"/>
  <c r="F94" i="25"/>
  <c r="J94" i="25"/>
  <c r="E95" i="25"/>
  <c r="F95" i="25"/>
  <c r="J95" i="25"/>
  <c r="E96" i="25"/>
  <c r="F96" i="25"/>
  <c r="J96" i="25"/>
  <c r="E97" i="25"/>
  <c r="F97" i="25"/>
  <c r="J97" i="25"/>
  <c r="E98" i="25"/>
  <c r="F98" i="25"/>
  <c r="J98" i="25"/>
  <c r="E99" i="25"/>
  <c r="F99" i="25"/>
  <c r="J99" i="25"/>
  <c r="E100" i="25"/>
  <c r="F100" i="25"/>
  <c r="J100" i="25"/>
  <c r="E101" i="25"/>
  <c r="F101" i="25"/>
  <c r="J101" i="25"/>
  <c r="E102" i="25"/>
  <c r="F102" i="25"/>
  <c r="J102" i="25"/>
  <c r="E103" i="25"/>
  <c r="F103" i="25"/>
  <c r="J103" i="25"/>
  <c r="E104" i="25"/>
  <c r="F104" i="25"/>
  <c r="J104" i="25"/>
  <c r="E105" i="25"/>
  <c r="F105" i="25"/>
  <c r="J105" i="25"/>
  <c r="E106" i="25"/>
  <c r="F106" i="25"/>
  <c r="J106" i="25"/>
  <c r="E107" i="25"/>
  <c r="F107" i="25"/>
  <c r="J107" i="25"/>
  <c r="E108" i="25"/>
  <c r="F108" i="25"/>
  <c r="J108" i="25"/>
  <c r="E109" i="25"/>
  <c r="F109" i="25"/>
  <c r="J109" i="25"/>
  <c r="E110" i="25"/>
  <c r="F110" i="25"/>
  <c r="J110" i="25"/>
  <c r="E111" i="25"/>
  <c r="F111" i="25"/>
  <c r="J111" i="25"/>
  <c r="E112" i="25"/>
  <c r="F112" i="25"/>
  <c r="J112" i="25"/>
  <c r="E113" i="25"/>
  <c r="F113" i="25"/>
  <c r="J113" i="25"/>
  <c r="E114" i="25"/>
  <c r="F114" i="25"/>
  <c r="J114" i="25"/>
  <c r="E115" i="25"/>
  <c r="F115" i="25"/>
  <c r="J115" i="25"/>
  <c r="E116" i="25"/>
  <c r="F116" i="25"/>
  <c r="J116" i="25"/>
  <c r="E117" i="25"/>
  <c r="F117" i="25"/>
  <c r="J117" i="25"/>
  <c r="E118" i="25"/>
  <c r="F118" i="25"/>
  <c r="J118" i="25"/>
  <c r="E119" i="25"/>
  <c r="F119" i="25"/>
  <c r="J119" i="25"/>
  <c r="E120" i="25"/>
  <c r="F120" i="25"/>
  <c r="J120" i="25"/>
  <c r="E121" i="25"/>
  <c r="F121" i="25"/>
  <c r="J121" i="25"/>
  <c r="E122" i="25"/>
  <c r="F122" i="25"/>
  <c r="J122" i="25"/>
  <c r="E123" i="25"/>
  <c r="F123" i="25"/>
  <c r="J123" i="25"/>
  <c r="E124" i="25"/>
  <c r="F124" i="25"/>
  <c r="J124" i="25"/>
  <c r="E125" i="25"/>
  <c r="F125" i="25"/>
  <c r="J125" i="25"/>
  <c r="E126" i="25"/>
  <c r="F126" i="25"/>
  <c r="J126" i="25"/>
  <c r="E127" i="25"/>
  <c r="F127" i="25"/>
  <c r="J127" i="25"/>
  <c r="E128" i="25"/>
  <c r="F128" i="25"/>
  <c r="J128" i="25"/>
  <c r="E129" i="25"/>
  <c r="F129" i="25"/>
  <c r="J129" i="25"/>
  <c r="E130" i="25"/>
  <c r="F130" i="25"/>
  <c r="J130" i="25"/>
  <c r="E131" i="25"/>
  <c r="F131" i="25"/>
  <c r="J131" i="25"/>
  <c r="E132" i="25"/>
  <c r="F132" i="25"/>
  <c r="J132" i="25"/>
  <c r="E133" i="25"/>
  <c r="F133" i="25"/>
  <c r="J133" i="25"/>
  <c r="E134" i="25"/>
  <c r="F134" i="25"/>
  <c r="J134" i="25"/>
  <c r="E135" i="25"/>
  <c r="F135" i="25"/>
  <c r="J135" i="25"/>
  <c r="E136" i="25"/>
  <c r="F136" i="25"/>
  <c r="J136" i="25"/>
  <c r="E137" i="25"/>
  <c r="F137" i="25"/>
  <c r="J137" i="25"/>
  <c r="E138" i="25"/>
  <c r="F138" i="25"/>
  <c r="J138" i="25"/>
  <c r="E139" i="25"/>
  <c r="F139" i="25"/>
  <c r="J139" i="25"/>
  <c r="E140" i="25"/>
  <c r="F140" i="25"/>
  <c r="J140" i="25"/>
  <c r="E141" i="25"/>
  <c r="F141" i="25"/>
  <c r="J141" i="25"/>
  <c r="E142" i="25"/>
  <c r="F142" i="25"/>
  <c r="J142" i="25"/>
  <c r="E143" i="25"/>
  <c r="F143" i="25"/>
  <c r="J143" i="25"/>
  <c r="E144" i="25"/>
  <c r="F144" i="25"/>
  <c r="J144" i="25"/>
  <c r="E145" i="25"/>
  <c r="F145" i="25"/>
  <c r="J145" i="25"/>
  <c r="E146" i="25"/>
  <c r="F146" i="25"/>
  <c r="J146" i="25"/>
  <c r="E147" i="25"/>
  <c r="F147" i="25"/>
  <c r="J147" i="25"/>
  <c r="E148" i="25"/>
  <c r="F148" i="25"/>
  <c r="J148" i="25"/>
  <c r="E149" i="25"/>
  <c r="F149" i="25"/>
  <c r="J149" i="25"/>
  <c r="E150" i="25"/>
  <c r="F150" i="25"/>
  <c r="J150" i="25"/>
  <c r="E151" i="25"/>
  <c r="F151" i="25"/>
  <c r="J151" i="25"/>
  <c r="E152" i="25"/>
  <c r="F152" i="25"/>
  <c r="J152" i="25"/>
  <c r="E153" i="25"/>
  <c r="F153" i="25"/>
  <c r="J153" i="25"/>
  <c r="E154" i="25"/>
  <c r="F154" i="25"/>
  <c r="J154" i="25"/>
  <c r="E155" i="25"/>
  <c r="F155" i="25"/>
  <c r="J155" i="25"/>
  <c r="E156" i="25"/>
  <c r="F156" i="25"/>
  <c r="J156" i="25"/>
  <c r="E157" i="25"/>
  <c r="F157" i="25"/>
  <c r="J157" i="25"/>
  <c r="E158" i="25"/>
  <c r="F158" i="25"/>
  <c r="J158" i="25"/>
  <c r="E159" i="25"/>
  <c r="F159" i="25"/>
  <c r="J159" i="25"/>
  <c r="E160" i="25"/>
  <c r="F160" i="25"/>
  <c r="J160" i="25"/>
  <c r="E161" i="25"/>
  <c r="F161" i="25"/>
  <c r="J161" i="25"/>
  <c r="E162" i="25"/>
  <c r="F162" i="25"/>
  <c r="J162" i="25"/>
  <c r="E163" i="25"/>
  <c r="F163" i="25"/>
  <c r="J163" i="25"/>
  <c r="E164" i="25"/>
  <c r="F164" i="25"/>
  <c r="J164" i="25"/>
  <c r="E165" i="25"/>
  <c r="F165" i="25"/>
  <c r="J165" i="25"/>
  <c r="E166" i="25"/>
  <c r="F166" i="25"/>
  <c r="J166" i="25"/>
  <c r="E167" i="25"/>
  <c r="F167" i="25"/>
  <c r="J167" i="25"/>
  <c r="E168" i="25"/>
  <c r="F168" i="25"/>
  <c r="J168" i="25"/>
  <c r="E169" i="25"/>
  <c r="F169" i="25"/>
  <c r="J169" i="25"/>
  <c r="E170" i="25"/>
  <c r="F170" i="25"/>
  <c r="J170" i="25"/>
  <c r="E171" i="25"/>
  <c r="F171" i="25"/>
  <c r="J171" i="25"/>
  <c r="E172" i="25"/>
  <c r="F172" i="25"/>
  <c r="J172" i="25"/>
  <c r="E173" i="25"/>
  <c r="F173" i="25"/>
  <c r="J173" i="25"/>
  <c r="E174" i="25"/>
  <c r="F174" i="25"/>
  <c r="J174" i="25"/>
  <c r="E175" i="25"/>
  <c r="F175" i="25"/>
  <c r="J175" i="25"/>
  <c r="E176" i="25"/>
  <c r="F176" i="25"/>
  <c r="J176" i="25"/>
  <c r="E177" i="25"/>
  <c r="F177" i="25"/>
  <c r="J177" i="25"/>
  <c r="E178" i="25"/>
  <c r="F178" i="25"/>
  <c r="J178" i="25"/>
  <c r="E179" i="25"/>
  <c r="F179" i="25"/>
  <c r="J179" i="25"/>
  <c r="E180" i="25"/>
  <c r="F180" i="25"/>
  <c r="J180" i="25"/>
  <c r="E181" i="25"/>
  <c r="F181" i="25"/>
  <c r="J181" i="25"/>
  <c r="E182" i="25"/>
  <c r="F182" i="25"/>
  <c r="J182" i="25"/>
  <c r="E183" i="25"/>
  <c r="F183" i="25"/>
  <c r="J183" i="25"/>
  <c r="E184" i="25"/>
  <c r="F184" i="25"/>
  <c r="J184" i="25"/>
  <c r="E185" i="25"/>
  <c r="F185" i="25"/>
  <c r="J185" i="25"/>
  <c r="E186" i="25"/>
  <c r="F186" i="25"/>
  <c r="J186" i="25"/>
  <c r="E187" i="25"/>
  <c r="F187" i="25"/>
  <c r="J187" i="25"/>
  <c r="E188" i="25"/>
  <c r="F188" i="25"/>
  <c r="J188" i="25"/>
  <c r="E189" i="25"/>
  <c r="F189" i="25"/>
  <c r="J189" i="25"/>
  <c r="E190" i="25"/>
  <c r="F190" i="25"/>
  <c r="J190" i="25"/>
  <c r="E191" i="25"/>
  <c r="F191" i="25"/>
  <c r="J191" i="25"/>
  <c r="E192" i="25"/>
  <c r="F192" i="25"/>
  <c r="J192" i="25"/>
  <c r="E193" i="25"/>
  <c r="F193" i="25"/>
  <c r="J193" i="25"/>
  <c r="E194" i="25"/>
  <c r="F194" i="25"/>
  <c r="J194" i="25"/>
  <c r="E195" i="25"/>
  <c r="F195" i="25"/>
  <c r="J195" i="25"/>
  <c r="E196" i="25"/>
  <c r="F196" i="25"/>
  <c r="J196" i="25"/>
  <c r="E197" i="25"/>
  <c r="F197" i="25"/>
  <c r="J197" i="25"/>
  <c r="E198" i="25"/>
  <c r="F198" i="25"/>
  <c r="J198" i="25"/>
  <c r="E199" i="25"/>
  <c r="F199" i="25"/>
  <c r="J199" i="25"/>
  <c r="E200" i="25"/>
  <c r="F200" i="25"/>
  <c r="J200" i="25"/>
  <c r="E201" i="25"/>
  <c r="F201" i="25"/>
  <c r="J201" i="25"/>
  <c r="E202" i="25"/>
  <c r="F202" i="25"/>
  <c r="J202" i="25"/>
  <c r="E203" i="25"/>
  <c r="F203" i="25"/>
  <c r="J203" i="25"/>
  <c r="E204" i="25"/>
  <c r="F204" i="25"/>
  <c r="J204" i="25"/>
  <c r="E205" i="25"/>
  <c r="F205" i="25"/>
  <c r="J205" i="25"/>
  <c r="E206" i="25"/>
  <c r="F206" i="25"/>
  <c r="J206" i="25"/>
  <c r="E207" i="25"/>
  <c r="F207" i="25"/>
  <c r="J207" i="25"/>
  <c r="E208" i="25"/>
  <c r="F208" i="25"/>
  <c r="J208" i="25"/>
  <c r="J2" i="25"/>
  <c r="J3" i="25"/>
  <c r="J4" i="25"/>
  <c r="J5" i="25"/>
  <c r="F2" i="25"/>
  <c r="F4" i="25"/>
  <c r="F5" i="25"/>
  <c r="E3" i="25"/>
  <c r="E4" i="25"/>
  <c r="E5" i="25"/>
  <c r="E2" i="25"/>
  <c r="P2" i="26"/>
  <c r="O2" i="26"/>
  <c r="J207" i="26"/>
  <c r="J206" i="26"/>
  <c r="J205" i="26"/>
  <c r="J204" i="26"/>
  <c r="J203" i="26"/>
  <c r="J202" i="26"/>
  <c r="J201" i="26"/>
  <c r="J200" i="26"/>
  <c r="J199" i="26"/>
  <c r="J198" i="26"/>
  <c r="J197" i="26"/>
  <c r="J196" i="26"/>
  <c r="J195" i="26"/>
  <c r="J194" i="26"/>
  <c r="J193" i="26"/>
  <c r="J192" i="26"/>
  <c r="J191" i="26"/>
  <c r="J190" i="26"/>
  <c r="J189" i="26"/>
  <c r="J188" i="26"/>
  <c r="J187" i="26"/>
  <c r="J186" i="26"/>
  <c r="J185" i="26"/>
  <c r="J184" i="26"/>
  <c r="J183" i="26"/>
  <c r="J182" i="26"/>
  <c r="J181" i="26"/>
  <c r="J180" i="26"/>
  <c r="J179" i="26"/>
  <c r="J178" i="26"/>
  <c r="J177" i="26"/>
  <c r="J176" i="26"/>
  <c r="J175" i="26"/>
  <c r="J174" i="26"/>
  <c r="J173" i="26"/>
  <c r="J172" i="26"/>
  <c r="J171" i="26"/>
  <c r="J170" i="26"/>
  <c r="J169" i="26"/>
  <c r="J168" i="26"/>
  <c r="J167" i="26"/>
  <c r="J166" i="26"/>
  <c r="J165" i="26"/>
  <c r="J164" i="26"/>
  <c r="J163" i="26"/>
  <c r="J162" i="26"/>
  <c r="J161" i="26"/>
  <c r="J160" i="26"/>
  <c r="J159" i="26"/>
  <c r="J158" i="26"/>
  <c r="J157" i="26"/>
  <c r="J156" i="26"/>
  <c r="J155" i="26"/>
  <c r="J154" i="26"/>
  <c r="J153" i="26"/>
  <c r="J152" i="26"/>
  <c r="J151" i="26"/>
  <c r="J150" i="26"/>
  <c r="J149" i="26"/>
  <c r="J148" i="26"/>
  <c r="J147" i="26"/>
  <c r="J146" i="26"/>
  <c r="J145" i="26"/>
  <c r="J144" i="26"/>
  <c r="J143" i="26"/>
  <c r="J142" i="26"/>
  <c r="J141" i="26"/>
  <c r="J140" i="26"/>
  <c r="J139" i="26"/>
  <c r="J138" i="26"/>
  <c r="J137" i="26"/>
  <c r="J136" i="26"/>
  <c r="J135" i="26"/>
  <c r="J134" i="26"/>
  <c r="J133" i="26"/>
  <c r="J132" i="26"/>
  <c r="J131" i="26"/>
  <c r="J130" i="26"/>
  <c r="J129" i="26"/>
  <c r="J128" i="26"/>
  <c r="J127" i="26"/>
  <c r="J126" i="26"/>
  <c r="J125" i="26"/>
  <c r="J124" i="26"/>
  <c r="J123" i="26"/>
  <c r="J122" i="26"/>
  <c r="J121" i="26"/>
  <c r="J120" i="26"/>
  <c r="J119" i="26"/>
  <c r="J118" i="26"/>
  <c r="J117" i="26"/>
  <c r="J116" i="26"/>
  <c r="J115" i="26"/>
  <c r="J114" i="26"/>
  <c r="J113" i="26"/>
  <c r="J112" i="26"/>
  <c r="J111" i="26"/>
  <c r="J110" i="26"/>
  <c r="J109" i="26"/>
  <c r="J108" i="26"/>
  <c r="J107" i="26"/>
  <c r="J106" i="26"/>
  <c r="J105" i="26"/>
  <c r="J104" i="26"/>
  <c r="J103" i="26"/>
  <c r="J102" i="26"/>
  <c r="J101" i="26"/>
  <c r="J100" i="26"/>
  <c r="J99" i="26"/>
  <c r="J98" i="26"/>
  <c r="J97" i="26"/>
  <c r="J96" i="26"/>
  <c r="J95" i="26"/>
  <c r="J94" i="26"/>
  <c r="J93" i="26"/>
  <c r="J92" i="26"/>
  <c r="J91" i="26"/>
  <c r="J90" i="26"/>
  <c r="J89" i="26"/>
  <c r="J88" i="26"/>
  <c r="J87" i="26"/>
  <c r="J86" i="26"/>
  <c r="J85" i="26"/>
  <c r="J84" i="26"/>
  <c r="J83" i="26"/>
  <c r="J82" i="26"/>
  <c r="J81" i="26"/>
  <c r="J80" i="26"/>
  <c r="J79" i="26"/>
  <c r="J78" i="26"/>
  <c r="J77" i="26"/>
  <c r="J76" i="26"/>
  <c r="J75" i="26"/>
  <c r="J74" i="26"/>
  <c r="J73" i="26"/>
  <c r="J72" i="26"/>
  <c r="J71" i="26"/>
  <c r="J70" i="26"/>
  <c r="J69" i="26"/>
  <c r="J68" i="26"/>
  <c r="J67" i="26"/>
  <c r="J66" i="26"/>
  <c r="J65" i="26"/>
  <c r="J64" i="26"/>
  <c r="J63" i="26"/>
  <c r="J62" i="26"/>
  <c r="J61" i="26"/>
  <c r="J60" i="26"/>
  <c r="J59" i="26"/>
  <c r="J58" i="26"/>
  <c r="J57" i="26"/>
  <c r="J56" i="26"/>
  <c r="J55" i="26"/>
  <c r="J54" i="26"/>
  <c r="J53" i="26"/>
  <c r="J52" i="26"/>
  <c r="J51" i="26"/>
  <c r="J50" i="26"/>
  <c r="J49" i="26"/>
  <c r="J48" i="26"/>
  <c r="J47" i="26"/>
  <c r="J46" i="26"/>
  <c r="J45" i="26"/>
  <c r="J44" i="26"/>
  <c r="J43" i="26"/>
  <c r="J42" i="26"/>
  <c r="J41" i="26"/>
  <c r="J40" i="26"/>
  <c r="J39" i="26"/>
  <c r="J38" i="26"/>
  <c r="J37" i="26"/>
  <c r="J36" i="26"/>
  <c r="J35" i="26"/>
  <c r="J34" i="26"/>
  <c r="J33" i="26"/>
  <c r="J32" i="26"/>
  <c r="J31" i="26"/>
  <c r="J30" i="26"/>
  <c r="J29" i="26"/>
  <c r="J28" i="26"/>
  <c r="J27" i="26"/>
  <c r="J26" i="26"/>
  <c r="J25" i="26"/>
  <c r="J24" i="26"/>
  <c r="J23" i="26"/>
  <c r="J22" i="26"/>
  <c r="J21" i="26"/>
  <c r="J20" i="26"/>
  <c r="J19" i="26"/>
  <c r="J18" i="26"/>
  <c r="J17" i="26"/>
  <c r="J16" i="26"/>
  <c r="J15" i="26"/>
  <c r="J14" i="26"/>
  <c r="J13" i="26"/>
  <c r="J12" i="26"/>
  <c r="J11" i="26"/>
  <c r="J10" i="26"/>
  <c r="J9" i="26"/>
  <c r="J8" i="26"/>
  <c r="J7" i="26"/>
  <c r="J6" i="26"/>
  <c r="J5" i="26"/>
  <c r="J4" i="26"/>
  <c r="J3" i="26"/>
  <c r="J2" i="26"/>
  <c r="J208" i="26"/>
  <c r="E207" i="26"/>
  <c r="E206" i="26"/>
  <c r="E205" i="26"/>
  <c r="E204" i="26"/>
  <c r="E203" i="26"/>
  <c r="E202" i="26"/>
  <c r="E201" i="26"/>
  <c r="E200" i="26"/>
  <c r="E199" i="26"/>
  <c r="E198" i="26"/>
  <c r="E197" i="26"/>
  <c r="E196" i="26"/>
  <c r="E195" i="26"/>
  <c r="E194" i="26"/>
  <c r="E193" i="26"/>
  <c r="E192" i="26"/>
  <c r="E191" i="26"/>
  <c r="E190" i="26"/>
  <c r="E189" i="26"/>
  <c r="E188" i="26"/>
  <c r="E187" i="26"/>
  <c r="E186" i="26"/>
  <c r="E185" i="26"/>
  <c r="E184" i="26"/>
  <c r="E183" i="26"/>
  <c r="E182" i="26"/>
  <c r="E181" i="26"/>
  <c r="E180" i="26"/>
  <c r="E179" i="26"/>
  <c r="E178" i="26"/>
  <c r="E177" i="26"/>
  <c r="E176" i="26"/>
  <c r="E175" i="26"/>
  <c r="E174" i="26"/>
  <c r="E173" i="26"/>
  <c r="E172" i="26"/>
  <c r="E171" i="26"/>
  <c r="E170" i="26"/>
  <c r="E169" i="26"/>
  <c r="E168" i="26"/>
  <c r="E167" i="26"/>
  <c r="E166" i="26"/>
  <c r="E165" i="26"/>
  <c r="E164" i="26"/>
  <c r="E163" i="26"/>
  <c r="E162" i="26"/>
  <c r="E161" i="26"/>
  <c r="E160" i="26"/>
  <c r="E159" i="26"/>
  <c r="E158" i="26"/>
  <c r="E157" i="26"/>
  <c r="E156" i="26"/>
  <c r="E155" i="26"/>
  <c r="E154" i="26"/>
  <c r="E153" i="26"/>
  <c r="E152" i="26"/>
  <c r="E151" i="26"/>
  <c r="E150" i="26"/>
  <c r="E149" i="26"/>
  <c r="E148" i="26"/>
  <c r="E147" i="26"/>
  <c r="E146" i="26"/>
  <c r="E145" i="26"/>
  <c r="E144" i="26"/>
  <c r="E143" i="26"/>
  <c r="E142" i="26"/>
  <c r="E141" i="26"/>
  <c r="E140" i="26"/>
  <c r="E139" i="26"/>
  <c r="E138" i="26"/>
  <c r="E137" i="26"/>
  <c r="E136" i="26"/>
  <c r="E135" i="26"/>
  <c r="E134" i="26"/>
  <c r="E133" i="26"/>
  <c r="E132" i="26"/>
  <c r="E131" i="26"/>
  <c r="E130" i="26"/>
  <c r="E129" i="26"/>
  <c r="E128" i="26"/>
  <c r="E127" i="26"/>
  <c r="E126" i="26"/>
  <c r="E125" i="26"/>
  <c r="E124" i="26"/>
  <c r="E123" i="26"/>
  <c r="E122" i="26"/>
  <c r="E121" i="26"/>
  <c r="E120" i="26"/>
  <c r="E119" i="26"/>
  <c r="E118" i="26"/>
  <c r="E117" i="26"/>
  <c r="E116" i="26"/>
  <c r="E115" i="26"/>
  <c r="E114" i="26"/>
  <c r="E113" i="26"/>
  <c r="E112" i="26"/>
  <c r="E111" i="26"/>
  <c r="E110" i="26"/>
  <c r="E109" i="26"/>
  <c r="E108" i="26"/>
  <c r="E107" i="26"/>
  <c r="E106" i="26"/>
  <c r="E105" i="26"/>
  <c r="E104" i="26"/>
  <c r="E103" i="26"/>
  <c r="E102" i="26"/>
  <c r="E101" i="26"/>
  <c r="E100" i="26"/>
  <c r="E99" i="26"/>
  <c r="E98" i="26"/>
  <c r="E97" i="26"/>
  <c r="E96" i="26"/>
  <c r="E95" i="26"/>
  <c r="E94" i="26"/>
  <c r="E93" i="26"/>
  <c r="E92" i="26"/>
  <c r="E91" i="26"/>
  <c r="E90" i="26"/>
  <c r="E89" i="26"/>
  <c r="E88" i="26"/>
  <c r="E87" i="26"/>
  <c r="E86" i="26"/>
  <c r="E85" i="26"/>
  <c r="E84" i="26"/>
  <c r="E83" i="26"/>
  <c r="E82" i="26"/>
  <c r="E81" i="26"/>
  <c r="E80" i="26"/>
  <c r="E79" i="26"/>
  <c r="E78" i="26"/>
  <c r="E77" i="26"/>
  <c r="E76" i="26"/>
  <c r="E75" i="26"/>
  <c r="E74" i="26"/>
  <c r="E73" i="26"/>
  <c r="E72" i="26"/>
  <c r="E71" i="26"/>
  <c r="E70" i="26"/>
  <c r="E69" i="26"/>
  <c r="E68" i="26"/>
  <c r="E67" i="26"/>
  <c r="E66" i="26"/>
  <c r="E65" i="26"/>
  <c r="E64" i="26"/>
  <c r="E63" i="26"/>
  <c r="E62" i="26"/>
  <c r="E61" i="26"/>
  <c r="E60" i="26"/>
  <c r="E59" i="26"/>
  <c r="E58" i="26"/>
  <c r="E57" i="26"/>
  <c r="E56" i="26"/>
  <c r="E55" i="26"/>
  <c r="E54" i="26"/>
  <c r="E53" i="26"/>
  <c r="E52" i="26"/>
  <c r="E51" i="26"/>
  <c r="E50" i="26"/>
  <c r="E49" i="26"/>
  <c r="E48" i="26"/>
  <c r="E47" i="26"/>
  <c r="E46" i="26"/>
  <c r="E45" i="26"/>
  <c r="E44" i="26"/>
  <c r="E43" i="26"/>
  <c r="E42" i="26"/>
  <c r="E41" i="26"/>
  <c r="E40" i="26"/>
  <c r="E39" i="26"/>
  <c r="E38" i="26"/>
  <c r="E37" i="26"/>
  <c r="E36" i="26"/>
  <c r="E35" i="26"/>
  <c r="E34" i="26"/>
  <c r="E33" i="26"/>
  <c r="E32" i="26"/>
  <c r="E31" i="26"/>
  <c r="E30" i="26"/>
  <c r="E29" i="26"/>
  <c r="E28" i="26"/>
  <c r="E27" i="26"/>
  <c r="E26" i="26"/>
  <c r="E25" i="26"/>
  <c r="E24" i="26"/>
  <c r="E23" i="26"/>
  <c r="E22" i="26"/>
  <c r="E21" i="26"/>
  <c r="E20" i="26"/>
  <c r="E19" i="26"/>
  <c r="E18" i="26"/>
  <c r="E17" i="26"/>
  <c r="E16" i="26"/>
  <c r="E15" i="26"/>
  <c r="E14" i="26"/>
  <c r="E13" i="26"/>
  <c r="E12" i="26"/>
  <c r="E11" i="26"/>
  <c r="E10" i="26"/>
  <c r="E9" i="26"/>
  <c r="E8" i="26"/>
  <c r="E7" i="26"/>
  <c r="E6" i="26"/>
  <c r="E5" i="26"/>
  <c r="E4" i="26"/>
  <c r="E3" i="26"/>
  <c r="E2" i="26"/>
  <c r="E208" i="26"/>
  <c r="F207" i="26"/>
  <c r="F206" i="26"/>
  <c r="F205" i="26"/>
  <c r="F204" i="26"/>
  <c r="F203" i="26"/>
  <c r="F202" i="26"/>
  <c r="F201" i="26"/>
  <c r="F200" i="26"/>
  <c r="F199" i="26"/>
  <c r="F198" i="26"/>
  <c r="F197" i="26"/>
  <c r="F196" i="26"/>
  <c r="F195" i="26"/>
  <c r="F194" i="26"/>
  <c r="F193" i="26"/>
  <c r="F192" i="26"/>
  <c r="F191" i="26"/>
  <c r="F190" i="26"/>
  <c r="F189" i="26"/>
  <c r="F188" i="26"/>
  <c r="F187" i="26"/>
  <c r="F186" i="26"/>
  <c r="F185" i="26"/>
  <c r="F184" i="26"/>
  <c r="F183" i="26"/>
  <c r="F182" i="26"/>
  <c r="F181" i="26"/>
  <c r="F180" i="26"/>
  <c r="F179" i="26"/>
  <c r="F178" i="26"/>
  <c r="F177" i="26"/>
  <c r="F176" i="26"/>
  <c r="F175" i="26"/>
  <c r="F174" i="26"/>
  <c r="F173" i="26"/>
  <c r="F172" i="26"/>
  <c r="F171" i="26"/>
  <c r="F170" i="26"/>
  <c r="F169" i="26"/>
  <c r="F168" i="26"/>
  <c r="F167" i="26"/>
  <c r="F166" i="26"/>
  <c r="F165" i="26"/>
  <c r="F164" i="26"/>
  <c r="F163" i="26"/>
  <c r="F162" i="26"/>
  <c r="F161" i="26"/>
  <c r="F160" i="26"/>
  <c r="F159" i="26"/>
  <c r="F158" i="26"/>
  <c r="F157" i="26"/>
  <c r="F156" i="26"/>
  <c r="F155" i="26"/>
  <c r="F154" i="26"/>
  <c r="F153" i="26"/>
  <c r="F152" i="26"/>
  <c r="F151" i="26"/>
  <c r="F150" i="26"/>
  <c r="F149" i="26"/>
  <c r="F148" i="26"/>
  <c r="F147" i="26"/>
  <c r="F146" i="26"/>
  <c r="F145" i="26"/>
  <c r="F144" i="26"/>
  <c r="F143" i="26"/>
  <c r="F142" i="26"/>
  <c r="F141" i="26"/>
  <c r="F140" i="26"/>
  <c r="F139" i="26"/>
  <c r="F138" i="26"/>
  <c r="F137" i="26"/>
  <c r="F136" i="26"/>
  <c r="F135" i="26"/>
  <c r="F134" i="26"/>
  <c r="F133" i="26"/>
  <c r="F132" i="26"/>
  <c r="F131" i="26"/>
  <c r="F130" i="26"/>
  <c r="F129" i="26"/>
  <c r="F128" i="26"/>
  <c r="F127" i="26"/>
  <c r="F126" i="26"/>
  <c r="F125" i="26"/>
  <c r="F124" i="26"/>
  <c r="F123" i="26"/>
  <c r="F122" i="26"/>
  <c r="F121" i="26"/>
  <c r="F120" i="26"/>
  <c r="F119" i="26"/>
  <c r="F118" i="26"/>
  <c r="F117" i="26"/>
  <c r="F116" i="26"/>
  <c r="F115" i="26"/>
  <c r="F114" i="26"/>
  <c r="F113" i="26"/>
  <c r="F112" i="26"/>
  <c r="F111" i="26"/>
  <c r="F110" i="26"/>
  <c r="F109" i="26"/>
  <c r="F108" i="26"/>
  <c r="F107" i="26"/>
  <c r="F106" i="26"/>
  <c r="F105" i="26"/>
  <c r="F104" i="26"/>
  <c r="F103" i="26"/>
  <c r="F102" i="26"/>
  <c r="F101" i="26"/>
  <c r="F100" i="26"/>
  <c r="F99" i="26"/>
  <c r="F98" i="26"/>
  <c r="F97" i="26"/>
  <c r="F96" i="26"/>
  <c r="F95" i="26"/>
  <c r="F94" i="26"/>
  <c r="F93" i="26"/>
  <c r="F92" i="26"/>
  <c r="F91" i="26"/>
  <c r="F90" i="26"/>
  <c r="F89" i="26"/>
  <c r="F88" i="26"/>
  <c r="F87" i="26"/>
  <c r="F86" i="26"/>
  <c r="F85" i="26"/>
  <c r="F84" i="26"/>
  <c r="F83" i="26"/>
  <c r="F82" i="26"/>
  <c r="F81" i="26"/>
  <c r="F80" i="26"/>
  <c r="F79" i="26"/>
  <c r="F78" i="26"/>
  <c r="F77" i="26"/>
  <c r="F76" i="26"/>
  <c r="F75" i="26"/>
  <c r="F74" i="26"/>
  <c r="F73" i="26"/>
  <c r="F72" i="26"/>
  <c r="F71" i="26"/>
  <c r="F70" i="26"/>
  <c r="F69" i="26"/>
  <c r="F68" i="26"/>
  <c r="F67" i="26"/>
  <c r="F66" i="26"/>
  <c r="F65" i="26"/>
  <c r="F64" i="26"/>
  <c r="F63" i="26"/>
  <c r="F62" i="26"/>
  <c r="F61" i="26"/>
  <c r="F60" i="26"/>
  <c r="F59" i="26"/>
  <c r="F58" i="26"/>
  <c r="F57" i="26"/>
  <c r="F56" i="26"/>
  <c r="F55" i="26"/>
  <c r="F54" i="26"/>
  <c r="F53" i="26"/>
  <c r="F52" i="26"/>
  <c r="F51" i="26"/>
  <c r="F50" i="26"/>
  <c r="F49" i="26"/>
  <c r="F48" i="26"/>
  <c r="F47" i="26"/>
  <c r="F46" i="26"/>
  <c r="F45" i="26"/>
  <c r="F44" i="26"/>
  <c r="F43" i="26"/>
  <c r="F42" i="26"/>
  <c r="F41" i="26"/>
  <c r="F40" i="26"/>
  <c r="F39" i="26"/>
  <c r="F38" i="26"/>
  <c r="F37" i="26"/>
  <c r="F36" i="26"/>
  <c r="F35" i="26"/>
  <c r="F34" i="26"/>
  <c r="F33" i="26"/>
  <c r="F32" i="26"/>
  <c r="F31" i="26"/>
  <c r="F30" i="26"/>
  <c r="F29" i="26"/>
  <c r="F28" i="26"/>
  <c r="F27" i="26"/>
  <c r="F26" i="26"/>
  <c r="F25" i="26"/>
  <c r="F24" i="26"/>
  <c r="F23" i="26"/>
  <c r="F22" i="26"/>
  <c r="F21" i="26"/>
  <c r="F20" i="26"/>
  <c r="F19" i="26"/>
  <c r="F18" i="26"/>
  <c r="F17" i="26"/>
  <c r="F16" i="26"/>
  <c r="F15" i="26"/>
  <c r="F14" i="26"/>
  <c r="F13" i="26"/>
  <c r="F12" i="26"/>
  <c r="F11" i="26"/>
  <c r="F10" i="26"/>
  <c r="F9" i="26"/>
  <c r="F8" i="26"/>
  <c r="F7" i="26"/>
  <c r="F6" i="26"/>
  <c r="F5" i="26"/>
  <c r="F4" i="26"/>
  <c r="F3" i="26"/>
  <c r="F2" i="26"/>
  <c r="F208" i="26"/>
</calcChain>
</file>

<file path=xl/sharedStrings.xml><?xml version="1.0" encoding="utf-8"?>
<sst xmlns="http://schemas.openxmlformats.org/spreadsheetml/2006/main" count="2227" uniqueCount="303">
  <si>
    <t>Estado Civil</t>
  </si>
  <si>
    <t>Departamento</t>
  </si>
  <si>
    <t xml:space="preserve">Registro de Performance </t>
  </si>
  <si>
    <t>Casado(a)</t>
  </si>
  <si>
    <t>Administrativo</t>
  </si>
  <si>
    <t>TI</t>
  </si>
  <si>
    <t>Nombre - Cargo</t>
  </si>
  <si>
    <t xml:space="preserve">Salario </t>
  </si>
  <si>
    <t>Soltero</t>
  </si>
  <si>
    <t>Dentro de lo Esperado</t>
  </si>
  <si>
    <t>Debajo de lo esperado</t>
  </si>
  <si>
    <t>Producción</t>
  </si>
  <si>
    <t>Ventas</t>
  </si>
  <si>
    <t>Fecha de Nacimiento</t>
  </si>
  <si>
    <t>Superior a lo Esperado</t>
  </si>
  <si>
    <t>Ana Lívia S.</t>
  </si>
  <si>
    <t>Leticia Barbosa</t>
  </si>
  <si>
    <t>Antonella</t>
  </si>
  <si>
    <t>David</t>
  </si>
  <si>
    <t>Louise</t>
  </si>
  <si>
    <t>Pedro Lucas</t>
  </si>
  <si>
    <t>Isabella</t>
  </si>
  <si>
    <t>Lucas</t>
  </si>
  <si>
    <t>Samuel Roberto</t>
  </si>
  <si>
    <t>Analu</t>
  </si>
  <si>
    <t>Samir</t>
  </si>
  <si>
    <t>Beatriz</t>
  </si>
  <si>
    <t>Mario Andradde</t>
  </si>
  <si>
    <t>Melissa</t>
  </si>
  <si>
    <t>Ana Sofia S.</t>
  </si>
  <si>
    <t>Maria Helena M.</t>
  </si>
  <si>
    <t>Marcelo H.</t>
  </si>
  <si>
    <t>Maria Fernanda</t>
  </si>
  <si>
    <t>Vinícius</t>
  </si>
  <si>
    <t>Maria Valentina</t>
  </si>
  <si>
    <t>Joaquin</t>
  </si>
  <si>
    <t>Aurora</t>
  </si>
  <si>
    <t>Yasmin</t>
  </si>
  <si>
    <t>Emilly</t>
  </si>
  <si>
    <t>Maria Laura</t>
  </si>
  <si>
    <t>Juan</t>
  </si>
  <si>
    <t>Hector</t>
  </si>
  <si>
    <t>Victor</t>
  </si>
  <si>
    <t>Maria M.</t>
  </si>
  <si>
    <t>Francisco</t>
  </si>
  <si>
    <t>Mirella S.</t>
  </si>
  <si>
    <t>Maria Cruz</t>
  </si>
  <si>
    <t>Luis Octavio M.</t>
  </si>
  <si>
    <t>Felipe</t>
  </si>
  <si>
    <t>Anthony</t>
  </si>
  <si>
    <t>Lina</t>
  </si>
  <si>
    <t>Ana Laura</t>
  </si>
  <si>
    <t>Guillermo</t>
  </si>
  <si>
    <t>Emanuel</t>
  </si>
  <si>
    <t>Enrique</t>
  </si>
  <si>
    <t>Mirella</t>
  </si>
  <si>
    <t>Eric</t>
  </si>
  <si>
    <t>Isaac</t>
  </si>
  <si>
    <t>Liz</t>
  </si>
  <si>
    <t>Rafaela</t>
  </si>
  <si>
    <t>Sofia A</t>
  </si>
  <si>
    <t>Isabelly</t>
  </si>
  <si>
    <t>Keith M.</t>
  </si>
  <si>
    <t>Rebeca</t>
  </si>
  <si>
    <t>Ana Sofia</t>
  </si>
  <si>
    <t>Ryan</t>
  </si>
  <si>
    <t>Olívia</t>
  </si>
  <si>
    <t>Benjamin</t>
  </si>
  <si>
    <t>Allana S.</t>
  </si>
  <si>
    <t>Pedro</t>
  </si>
  <si>
    <t>Matheus</t>
  </si>
  <si>
    <t>Marina</t>
  </si>
  <si>
    <t>Pietra Conte</t>
  </si>
  <si>
    <t>Ana</t>
  </si>
  <si>
    <t>Carlos</t>
  </si>
  <si>
    <t>Arthur Enrique</t>
  </si>
  <si>
    <t>Luan B.</t>
  </si>
  <si>
    <t>Leticia M.</t>
  </si>
  <si>
    <t>Gabriela S.</t>
  </si>
  <si>
    <t>Bruno M.</t>
  </si>
  <si>
    <t>Nathan</t>
  </si>
  <si>
    <t>Stella S.</t>
  </si>
  <si>
    <t>Maria Sofia</t>
  </si>
  <si>
    <t>Isis</t>
  </si>
  <si>
    <t>Erick</t>
  </si>
  <si>
    <t>Levi</t>
  </si>
  <si>
    <t>Martin Silva</t>
  </si>
  <si>
    <t>Luan</t>
  </si>
  <si>
    <t>Maria Flor</t>
  </si>
  <si>
    <t>Jessica Almeida</t>
  </si>
  <si>
    <t>Clara</t>
  </si>
  <si>
    <t>Lucas C.</t>
  </si>
  <si>
    <t>Ana Lívia</t>
  </si>
  <si>
    <t>Maria Victoria</t>
  </si>
  <si>
    <t>Arthur Miguel</t>
  </si>
  <si>
    <t>Olívia da M.</t>
  </si>
  <si>
    <t>Ana Luisa</t>
  </si>
  <si>
    <t>Luis Enrique G.</t>
  </si>
  <si>
    <t>Sarah</t>
  </si>
  <si>
    <t>Rovena Souza</t>
  </si>
  <si>
    <t>Celia B.</t>
  </si>
  <si>
    <t>Emilio</t>
  </si>
  <si>
    <t>Cristian</t>
  </si>
  <si>
    <t>André</t>
  </si>
  <si>
    <t>Cecília</t>
  </si>
  <si>
    <t>Rodrigo Z.</t>
  </si>
  <si>
    <t>Gabriela da M.</t>
  </si>
  <si>
    <t>Luis Octavio</t>
  </si>
  <si>
    <t>Nicolas</t>
  </si>
  <si>
    <t>Angelica</t>
  </si>
  <si>
    <t>Kevin</t>
  </si>
  <si>
    <t>Joana P.</t>
  </si>
  <si>
    <t>Rodrigo</t>
  </si>
  <si>
    <t>Juan Pedro</t>
  </si>
  <si>
    <t>Luna</t>
  </si>
  <si>
    <t>Luis Miguel</t>
  </si>
  <si>
    <t>Maria Clara</t>
  </si>
  <si>
    <t>Ana Beatriz</t>
  </si>
  <si>
    <t>Elisa</t>
  </si>
  <si>
    <t>Diego Lopez</t>
  </si>
  <si>
    <t>Carlos Eduardo M.</t>
  </si>
  <si>
    <t>Benjamín</t>
  </si>
  <si>
    <t>Maria Cecília</t>
  </si>
  <si>
    <t>Vicente</t>
  </si>
  <si>
    <t>Ana Júlia</t>
  </si>
  <si>
    <t>Ignacio</t>
  </si>
  <si>
    <t>Victor Hugo</t>
  </si>
  <si>
    <t>Emilly M.</t>
  </si>
  <si>
    <t>Gabriel</t>
  </si>
  <si>
    <t>Lucas Gabriel</t>
  </si>
  <si>
    <t>Angelica S.</t>
  </si>
  <si>
    <t>Pedro Miguel</t>
  </si>
  <si>
    <t>Luis Felipe</t>
  </si>
  <si>
    <t>Fernanda</t>
  </si>
  <si>
    <t>Raul</t>
  </si>
  <si>
    <t>Ana Clara</t>
  </si>
  <si>
    <t>Samuel</t>
  </si>
  <si>
    <t>Pietra</t>
  </si>
  <si>
    <t>José M.</t>
  </si>
  <si>
    <t>Henry</t>
  </si>
  <si>
    <t>Enzo Miguel M.</t>
  </si>
  <si>
    <t>Mariana P.</t>
  </si>
  <si>
    <t>José</t>
  </si>
  <si>
    <t>Marcos F.</t>
  </si>
  <si>
    <t>Antonio</t>
  </si>
  <si>
    <t>Breno</t>
  </si>
  <si>
    <t>Rafael</t>
  </si>
  <si>
    <t>Isadora</t>
  </si>
  <si>
    <t>Luis Enrique</t>
  </si>
  <si>
    <t>Miguel</t>
  </si>
  <si>
    <t>Gabriela</t>
  </si>
  <si>
    <t>Lívia</t>
  </si>
  <si>
    <t>Sandro Diaz</t>
  </si>
  <si>
    <t>Tomás M.</t>
  </si>
  <si>
    <t>Maria Fernanda M.</t>
  </si>
  <si>
    <t>Juan Gabriel</t>
  </si>
  <si>
    <t>David Miguel</t>
  </si>
  <si>
    <t>Ana Beatriz M.</t>
  </si>
  <si>
    <t>Leonardo</t>
  </si>
  <si>
    <t>Sophie S.</t>
  </si>
  <si>
    <t>Maria</t>
  </si>
  <si>
    <t>Yuri</t>
  </si>
  <si>
    <t>Breno M.</t>
  </si>
  <si>
    <t>Maria Valentina da M.</t>
  </si>
  <si>
    <t>Arthur</t>
  </si>
  <si>
    <t>Bernardo S.</t>
  </si>
  <si>
    <t>Erick C.</t>
  </si>
  <si>
    <t>Daniel</t>
  </si>
  <si>
    <t>Ana Laura da M.</t>
  </si>
  <si>
    <t>Emma J.</t>
  </si>
  <si>
    <t>Maria Flor M.</t>
  </si>
  <si>
    <t>Ana Liz</t>
  </si>
  <si>
    <t>Larissa</t>
  </si>
  <si>
    <t>Fernando</t>
  </si>
  <si>
    <t>Natasha P.</t>
  </si>
  <si>
    <t>Pietro</t>
  </si>
  <si>
    <t>Thiago</t>
  </si>
  <si>
    <t>Ana Victoria</t>
  </si>
  <si>
    <t>Ingrid G.</t>
  </si>
  <si>
    <t>Cristina C.</t>
  </si>
  <si>
    <t>Manuela</t>
  </si>
  <si>
    <t>Allana da M.</t>
  </si>
  <si>
    <t>Eduardo</t>
  </si>
  <si>
    <t>Pietra S.</t>
  </si>
  <si>
    <t>Keity C.</t>
  </si>
  <si>
    <t>Eliana C.</t>
  </si>
  <si>
    <t>Emma S.</t>
  </si>
  <si>
    <t>Enzo Gabriel</t>
  </si>
  <si>
    <t>Alice</t>
  </si>
  <si>
    <t>Murilo</t>
  </si>
  <si>
    <t>Maria Alice</t>
  </si>
  <si>
    <t>Helena</t>
  </si>
  <si>
    <t>Hannah</t>
  </si>
  <si>
    <t>David Lucca</t>
  </si>
  <si>
    <t>Lucy</t>
  </si>
  <si>
    <t>Maria Luisa</t>
  </si>
  <si>
    <t>Maria Eugenia</t>
  </si>
  <si>
    <t>Bernardo</t>
  </si>
  <si>
    <t>Maya</t>
  </si>
  <si>
    <t>Carolina</t>
  </si>
  <si>
    <t>Pedro Miguel G.</t>
  </si>
  <si>
    <t>Mateo</t>
  </si>
  <si>
    <t>Catarina</t>
  </si>
  <si>
    <t>Laura</t>
  </si>
  <si>
    <t>Juan Miguel</t>
  </si>
  <si>
    <t>Jazz</t>
  </si>
  <si>
    <t>Lorena</t>
  </si>
  <si>
    <t>Juan Guillermo</t>
  </si>
  <si>
    <t>Enzo</t>
  </si>
  <si>
    <t>Bryan</t>
  </si>
  <si>
    <t>Heloísa</t>
  </si>
  <si>
    <t>Mariah S.</t>
  </si>
  <si>
    <t>Alice R.</t>
  </si>
  <si>
    <t>Jeniffer S.</t>
  </si>
  <si>
    <t>Giovanna</t>
  </si>
  <si>
    <t>Victoria</t>
  </si>
  <si>
    <t>Luisa</t>
  </si>
  <si>
    <t>Ana Cecília</t>
  </si>
  <si>
    <t>Marta J.</t>
  </si>
  <si>
    <t>Marcelo R</t>
  </si>
  <si>
    <t>Técnico de Producción I</t>
  </si>
  <si>
    <t>Ingeniero de Software II</t>
  </si>
  <si>
    <t>Diretor Administrativo</t>
  </si>
  <si>
    <t>Analista Comercial I</t>
  </si>
  <si>
    <t>Analista Comercial II</t>
  </si>
  <si>
    <t>Técnico de Producción II</t>
  </si>
  <si>
    <t>Analista Comercial III</t>
  </si>
  <si>
    <t>Diretor Comercial</t>
  </si>
  <si>
    <t>Gerente de Eng. Software</t>
  </si>
  <si>
    <t>Analista de Suporte de TI</t>
  </si>
  <si>
    <t>Gerente de Producción</t>
  </si>
  <si>
    <t>Ingeniero de Software</t>
  </si>
  <si>
    <t>Analista de BI II</t>
  </si>
  <si>
    <t>Analista de Dados I</t>
  </si>
  <si>
    <t>Gerente  de TI</t>
  </si>
  <si>
    <t>Gerente de BI</t>
  </si>
  <si>
    <t>Analista de Dados III</t>
  </si>
  <si>
    <t>Contador II</t>
  </si>
  <si>
    <t>Diretor de TI</t>
  </si>
  <si>
    <t>Gerente de TI</t>
  </si>
  <si>
    <t>Analista de BI I</t>
  </si>
  <si>
    <t>Analista de Dados II</t>
  </si>
  <si>
    <t>Diretor de Producción</t>
  </si>
  <si>
    <t>Contador I</t>
  </si>
  <si>
    <t>Gerente Comercial</t>
  </si>
  <si>
    <t>Gerente Administrativo</t>
  </si>
  <si>
    <t>Assistente Administrativo</t>
  </si>
  <si>
    <t>Cargo</t>
  </si>
  <si>
    <t xml:space="preserve">Nombre </t>
  </si>
  <si>
    <t>Edad</t>
  </si>
  <si>
    <t>Reajuste Salarial</t>
  </si>
  <si>
    <t>Mes de Cumpleaños</t>
  </si>
  <si>
    <t>Cantidad de Empleados</t>
  </si>
  <si>
    <t>Nombre - Car</t>
  </si>
  <si>
    <t>C. / Gerente de Producción</t>
  </si>
  <si>
    <t>B. / Ingeniero de Software</t>
  </si>
  <si>
    <t>M. / Ingeniero de Software</t>
  </si>
  <si>
    <t>M. / Gerente Administrativo</t>
  </si>
  <si>
    <t>J. / Gerente de TI</t>
  </si>
  <si>
    <t>P. / Ingeniero de Software</t>
  </si>
  <si>
    <t>G. / Contador II</t>
  </si>
  <si>
    <t>C. / Ingeniero de Software</t>
  </si>
  <si>
    <t>R. / Gerente Comercial</t>
  </si>
  <si>
    <t>Column1</t>
  </si>
  <si>
    <t>Numero de Empleados</t>
  </si>
  <si>
    <t>Salarios</t>
  </si>
  <si>
    <t>?jui.b</t>
  </si>
  <si>
    <t>Nombre</t>
  </si>
  <si>
    <t>Apellido</t>
  </si>
  <si>
    <t>Pais</t>
  </si>
  <si>
    <t>Fecha de Cumpleaños</t>
  </si>
  <si>
    <t>Pineda</t>
  </si>
  <si>
    <t>Salvador</t>
  </si>
  <si>
    <t>Cocina</t>
  </si>
  <si>
    <t>Reina</t>
  </si>
  <si>
    <t>Cuba</t>
  </si>
  <si>
    <t>Nutricion</t>
  </si>
  <si>
    <t>Paula</t>
  </si>
  <si>
    <t>Londoño</t>
  </si>
  <si>
    <t>Colombia</t>
  </si>
  <si>
    <t>Eugenia</t>
  </si>
  <si>
    <t>Lopez</t>
  </si>
  <si>
    <t>Limpieza</t>
  </si>
  <si>
    <t>Teresa</t>
  </si>
  <si>
    <t>Gracias</t>
  </si>
  <si>
    <t>Delmis</t>
  </si>
  <si>
    <t>Molina</t>
  </si>
  <si>
    <t>Vilma</t>
  </si>
  <si>
    <t>Martinez</t>
  </si>
  <si>
    <t>Honduras</t>
  </si>
  <si>
    <t>Antonia</t>
  </si>
  <si>
    <t>Alfaro</t>
  </si>
  <si>
    <t xml:space="preserve">Blanca </t>
  </si>
  <si>
    <t>Rivera</t>
  </si>
  <si>
    <t>Elida</t>
  </si>
  <si>
    <t>Escobar</t>
  </si>
  <si>
    <t>Emmanuel</t>
  </si>
  <si>
    <t>Briceus</t>
  </si>
  <si>
    <t>Haiti</t>
  </si>
  <si>
    <t>Ernesto</t>
  </si>
  <si>
    <t>Bocanegra</t>
  </si>
  <si>
    <t>Mexico</t>
  </si>
  <si>
    <t>Excavacion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</si>
</sst>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(&quot;$&quot;* #,##0.00_);_(&quot;$&quot;* \(#,##0.00\);_(&quot;$&quot;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18" fillId="0" borderId="0" xfId="0" applyFont="1" applyAlignment="1">
      <alignment horizontal="left"/>
    </xf>
    <xf numFmtId="0" fontId="0" fillId="0" borderId="0" xfId="0" applyAlignment="1">
      <alignment horizontal="left"/>
    </xf>
    <xf numFmtId="14" fontId="18" fillId="0" borderId="0" xfId="0" applyNumberFormat="1" applyFont="1" applyAlignment="1">
      <alignment horizontal="left"/>
    </xf>
    <xf numFmtId="14" fontId="0" fillId="0" borderId="0" xfId="0" applyNumberFormat="1" applyAlignment="1">
      <alignment horizontal="left"/>
    </xf>
    <xf numFmtId="2" fontId="18" fillId="0" borderId="0" xfId="0" applyNumberFormat="1" applyFont="1" applyAlignment="1">
      <alignment horizontal="left"/>
    </xf>
    <xf numFmtId="44" fontId="18" fillId="0" borderId="0" xfId="42" applyFont="1" applyAlignment="1">
      <alignment horizontal="left"/>
    </xf>
    <xf numFmtId="44" fontId="18" fillId="0" borderId="0" xfId="0" applyNumberFormat="1" applyFont="1" applyAlignment="1">
      <alignment horizontal="left"/>
    </xf>
    <xf numFmtId="44" fontId="0" fillId="0" borderId="0" xfId="0" applyNumberFormat="1" applyAlignment="1">
      <alignment horizontal="left"/>
    </xf>
    <xf numFmtId="22" fontId="0" fillId="0" borderId="0" xfId="0" applyNumberFormat="1"/>
    <xf numFmtId="1" fontId="18" fillId="0" borderId="0" xfId="0" applyNumberFormat="1" applyFont="1" applyAlignment="1">
      <alignment horizontal="left"/>
    </xf>
    <xf numFmtId="14" fontId="0" fillId="0" borderId="0" xfId="0" applyNumberFormat="1"/>
    <xf numFmtId="2" fontId="0" fillId="0" borderId="0" xfId="0" applyNumberFormat="1" applyAlignment="1">
      <alignment horizontal="left"/>
    </xf>
    <xf numFmtId="2" fontId="18" fillId="0" borderId="0" xfId="42" applyNumberFormat="1" applyFont="1" applyAlignment="1">
      <alignment horizontal="left"/>
    </xf>
    <xf numFmtId="2" fontId="0" fillId="0" borderId="0" xfId="42" applyNumberFormat="1" applyFont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9" formatCode="m/d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9" formatCode="m/d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9" formatCode="m/d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9" formatCode="m/d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34" formatCode="_(&quot;$&quot;* #,##0.00_);_(&quot;$&quot;* \(#,##0.00\);_(&quot;$&quot;* &quot;-&quot;??_);_(@_)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bottom" textRotation="0" wrapText="0" indent="0" justifyLastLine="0" shrinkToFit="0" readingOrder="0"/>
    </dxf>
  </dxfs>
  <tableStyles count="2" defaultTableStyle="Lorennzo" defaultPivotStyle="PivotStyleLight16">
    <tableStyle name="Invisible" pivot="0" table="0" count="0" xr9:uid="{BF38F1AD-39A4-40B3-8C89-3B7AFC6BAACD}"/>
    <tableStyle name="Lorennzo" pivot="0" count="0" xr9:uid="{9A303E37-0058-44E3-A5C8-481DC2A9AAA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E2ECDC-42DE-40A3-906F-13F314EFDA98}" name="Table3" displayName="Table3" ref="A1:H16" totalsRowShown="0" headerRowDxfId="1" dataDxfId="2">
  <autoFilter ref="A1:H16" xr:uid="{B1E2ECDC-42DE-40A3-906F-13F314EFDA98}">
    <filterColumn colId="2">
      <customFilters>
        <customFilter operator="lessThan" val="4000"/>
      </customFilters>
    </filterColumn>
  </autoFilter>
  <tableColumns count="8">
    <tableColumn id="1" xr3:uid="{CF1866B9-A9C8-4AE8-826B-4B3C83873622}" name="Nombre " dataDxfId="10"/>
    <tableColumn id="2" xr3:uid="{5540C780-A857-4E9E-80FD-BDC4806C30F9}" name="Cargo" dataDxfId="9"/>
    <tableColumn id="3" xr3:uid="{A60FCFA2-B5A8-4CB5-AFBE-D7C8055D97D7}" name="Salario " dataDxfId="8" dataCellStyle="Currency"/>
    <tableColumn id="4" xr3:uid="{890F4536-8B5C-4A74-865E-BF721F8F9CA3}" name="Fecha de Nacimiento" dataDxfId="7"/>
    <tableColumn id="5" xr3:uid="{997F3C1B-8183-4355-A480-0D51F51D1A0F}" name="Mes de Cumpleaños" dataDxfId="6">
      <calculatedColumnFormula>TEXT(D2,"mmmm")</calculatedColumnFormula>
    </tableColumn>
    <tableColumn id="6" xr3:uid="{0CBC7198-8BCA-4639-B2D9-9325092CFB4E}" name="Edad" dataDxfId="5">
      <calculatedColumnFormula>YEARFRAC(TODAY(),D2)</calculatedColumnFormula>
    </tableColumn>
    <tableColumn id="7" xr3:uid="{2F22304A-EF5A-4A63-9520-A23FC515914D}" name="Estado Civil" dataDxfId="4"/>
    <tableColumn id="8" xr3:uid="{12728F92-3E43-43BF-B480-7A43779D215F}" name="Departamento" dataDxfId="3"/>
  </tableColumns>
  <tableStyleInfo name="Lorennzo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C5BD4E-8437-4430-B032-F4DD85BC9496}" name="Table2" displayName="Table2" ref="B1:G13" totalsRowShown="0">
  <autoFilter ref="B1:G13" xr:uid="{C0C5BD4E-8437-4430-B032-F4DD85BC9496}"/>
  <sortState xmlns:xlrd2="http://schemas.microsoft.com/office/spreadsheetml/2017/richdata2" ref="B2:G13">
    <sortCondition descending="1" ref="G2:G15"/>
  </sortState>
  <tableColumns count="6">
    <tableColumn id="1" xr3:uid="{908AA5BD-4A9D-46E2-AA0D-4653A2D25AE5}" name="Nombre"/>
    <tableColumn id="2" xr3:uid="{818251D4-1787-43EA-A1CB-6E11F70F9171}" name="Apellido"/>
    <tableColumn id="6" xr3:uid="{7F072A17-D7AD-4A8D-AF62-AE6167AE9A5A}" name="Column1"/>
    <tableColumn id="3" xr3:uid="{16DBDC29-5903-4B89-994E-A24DB9CBC4F8}" name="Pais"/>
    <tableColumn id="4" xr3:uid="{BDDDED5F-6C4F-4899-90F6-95EF471B13CC}" name="Departamento"/>
    <tableColumn id="5" xr3:uid="{D51A2F89-CADE-47C0-B91F-7AE7E0EFC665}" name="Fecha de Cumpleaños" dataDxfId="0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7EE347-FCC2-4BA6-97F9-638E3CB43E06}" name="Table1" displayName="Table1" ref="A1:J208" totalsRowShown="0" headerRowDxfId="22" dataDxfId="21">
  <autoFilter ref="A1:J208" xr:uid="{368F5F32-EA1E-44D7-BC71-7F187E02E8F2}"/>
  <sortState xmlns:xlrd2="http://schemas.microsoft.com/office/spreadsheetml/2017/richdata2" ref="A2:I208">
    <sortCondition ref="D2:D208"/>
  </sortState>
  <tableColumns count="10">
    <tableColumn id="1" xr3:uid="{410E861D-E2B2-40F8-BD31-0C607A21F8C0}" name="Nombre - Car" dataDxfId="20"/>
    <tableColumn id="2" xr3:uid="{63C52BE7-1FDD-4B9B-B7BE-2C41E83A9E97}" name="Nombre - Cargo" dataDxfId="19"/>
    <tableColumn id="3" xr3:uid="{F476D062-85A7-4D0B-AE4F-C06A7D758E9B}" name="Salario " dataDxfId="18"/>
    <tableColumn id="4" xr3:uid="{C578D575-D461-4D13-BB7E-5C55C15C1348}" name="Fecha de Nacimiento" dataDxfId="17"/>
    <tableColumn id="5" xr3:uid="{54092887-E15F-480B-A452-B4F916AEB60F}" name="Edad" dataDxfId="16">
      <calculatedColumnFormula>YEARFRAC(TODAY(),D2)</calculatedColumnFormula>
    </tableColumn>
    <tableColumn id="9" xr3:uid="{7EFCFC22-104C-447D-92A1-109B9DD272B9}" name="Column1" dataDxfId="15">
      <calculatedColumnFormula>TEXT(Table1[[#This Row],[Fecha de Nacimiento]],"mmmm")</calculatedColumnFormula>
    </tableColumn>
    <tableColumn id="6" xr3:uid="{97281E00-56E4-4FB7-A705-3C7E001AE6FA}" name="Estado Civil" dataDxfId="14"/>
    <tableColumn id="7" xr3:uid="{A29E5EFA-0AE1-452B-A50B-1244507B910F}" name="Departamento" dataDxfId="13"/>
    <tableColumn id="8" xr3:uid="{F21A193C-FA63-48A3-822C-7A83F581528B}" name="Registro de Performance " dataDxfId="12"/>
    <tableColumn id="10" xr3:uid="{A58F977C-C289-43FF-9A17-2D5FE010E9D1}" name="Reajuste Salarial" dataDxfId="11">
      <calculatedColumnFormula>IF(C2&gt;12000,"Aumento","No Aumento")</calculatedColumnFormula>
    </tableColumn>
  </tableColumns>
  <tableStyleInfo name="Lorennzo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232EA-E104-4CE3-B44A-BC52D3320C87}">
  <dimension ref="A1:P208"/>
  <sheetViews>
    <sheetView tabSelected="1" zoomScaleNormal="100" workbookViewId="0">
      <selection activeCell="C1" sqref="C1:C1048576"/>
    </sheetView>
  </sheetViews>
  <sheetFormatPr defaultColWidth="8.6640625" defaultRowHeight="14.4" x14ac:dyDescent="0.3"/>
  <cols>
    <col min="1" max="2" width="26.44140625" style="2" customWidth="1"/>
    <col min="3" max="3" width="11.109375" style="14" bestFit="1" customWidth="1"/>
    <col min="4" max="4" width="20.5546875" style="12" bestFit="1" customWidth="1"/>
    <col min="5" max="5" width="17.5546875" style="4" customWidth="1"/>
    <col min="6" max="6" width="9.88671875" style="4" customWidth="1"/>
    <col min="7" max="7" width="13.44140625" style="2" bestFit="1" customWidth="1"/>
    <col min="8" max="8" width="16.33203125" style="2" bestFit="1" customWidth="1"/>
    <col min="9" max="9" width="21.44140625" style="2" customWidth="1"/>
    <col min="10" max="10" width="14.44140625" bestFit="1" customWidth="1"/>
    <col min="13" max="14" width="16.33203125" style="2" bestFit="1" customWidth="1"/>
    <col min="15" max="15" width="20.21875" bestFit="1" customWidth="1"/>
    <col min="16" max="16" width="13.5546875" customWidth="1"/>
  </cols>
  <sheetData>
    <row r="1" spans="1:16" x14ac:dyDescent="0.3">
      <c r="A1" s="1" t="s">
        <v>248</v>
      </c>
      <c r="B1" s="1" t="s">
        <v>247</v>
      </c>
      <c r="C1" s="13" t="s">
        <v>7</v>
      </c>
      <c r="D1" s="5" t="s">
        <v>13</v>
      </c>
      <c r="E1" s="3" t="s">
        <v>251</v>
      </c>
      <c r="F1" s="3" t="s">
        <v>249</v>
      </c>
      <c r="G1" s="1" t="s">
        <v>0</v>
      </c>
      <c r="H1" s="1" t="s">
        <v>1</v>
      </c>
      <c r="I1" s="1" t="s">
        <v>2</v>
      </c>
      <c r="J1" s="1" t="s">
        <v>250</v>
      </c>
      <c r="M1" s="1"/>
      <c r="N1" s="1" t="s">
        <v>1</v>
      </c>
      <c r="O1" t="s">
        <v>252</v>
      </c>
      <c r="P1" t="s">
        <v>12</v>
      </c>
    </row>
    <row r="2" spans="1:16" x14ac:dyDescent="0.3">
      <c r="A2" s="1" t="s">
        <v>219</v>
      </c>
      <c r="B2" s="1" t="s">
        <v>225</v>
      </c>
      <c r="C2" s="13">
        <v>5940</v>
      </c>
      <c r="D2" s="5">
        <v>35658</v>
      </c>
      <c r="E2" s="3" t="str">
        <f>TEXT(D2,"mmmm")</f>
        <v>August</v>
      </c>
      <c r="F2" s="5">
        <f ca="1">YEARFRAC(TODAY(),D2)</f>
        <v>28.013888888888889</v>
      </c>
      <c r="G2" s="1" t="s">
        <v>3</v>
      </c>
      <c r="H2" s="1" t="s">
        <v>12</v>
      </c>
      <c r="I2" s="1" t="s">
        <v>9</v>
      </c>
      <c r="J2" t="str">
        <f>IF(C2&gt;12000,"Reajustar","No Reajustar")</f>
        <v>No Reajustar</v>
      </c>
      <c r="N2" s="1" t="s">
        <v>12</v>
      </c>
      <c r="O2">
        <f>COUNTIF(H2:H208,N2)</f>
        <v>125</v>
      </c>
      <c r="P2">
        <f ca="1">SUMIF(H2:H208,N2,C2)</f>
        <v>645524</v>
      </c>
    </row>
    <row r="3" spans="1:16" x14ac:dyDescent="0.3">
      <c r="A3" s="1" t="s">
        <v>218</v>
      </c>
      <c r="B3" s="1" t="s">
        <v>225</v>
      </c>
      <c r="C3" s="13">
        <v>6160</v>
      </c>
      <c r="D3" s="5">
        <v>35615</v>
      </c>
      <c r="E3" s="3" t="str">
        <f>TEXT(D3,"mmmm")</f>
        <v>July</v>
      </c>
      <c r="F3" s="5">
        <f ca="1">YEARFRAC(TODAY(),D3)</f>
        <v>28.130555555555556</v>
      </c>
      <c r="G3" s="1" t="s">
        <v>8</v>
      </c>
      <c r="H3" s="1" t="s">
        <v>12</v>
      </c>
      <c r="I3" s="1" t="s">
        <v>9</v>
      </c>
      <c r="J3" t="str">
        <f>IF(C3&gt;12000,"Reajustar","No Reajustar")</f>
        <v>No Reajustar</v>
      </c>
      <c r="M3" s="1"/>
      <c r="N3" s="1" t="s">
        <v>4</v>
      </c>
    </row>
    <row r="4" spans="1:16" x14ac:dyDescent="0.3">
      <c r="A4" s="1" t="s">
        <v>217</v>
      </c>
      <c r="B4" s="1" t="s">
        <v>220</v>
      </c>
      <c r="C4" s="13">
        <v>3740</v>
      </c>
      <c r="D4" s="5">
        <v>35598</v>
      </c>
      <c r="E4" s="3" t="str">
        <f>TEXT(D4,"mmmm")</f>
        <v>June</v>
      </c>
      <c r="F4" s="5">
        <f ca="1">YEARFRAC(TODAY(),D4)</f>
        <v>28.177777777777777</v>
      </c>
      <c r="G4" s="1" t="s">
        <v>8</v>
      </c>
      <c r="H4" s="1" t="s">
        <v>12</v>
      </c>
      <c r="I4" s="1" t="s">
        <v>9</v>
      </c>
      <c r="J4" t="str">
        <f>IF(C4&gt;12000,"Reajustar","No Reajustar")</f>
        <v>No Reajustar</v>
      </c>
      <c r="M4" s="1"/>
      <c r="N4" s="1" t="s">
        <v>11</v>
      </c>
    </row>
    <row r="5" spans="1:16" x14ac:dyDescent="0.3">
      <c r="A5" s="1" t="s">
        <v>216</v>
      </c>
      <c r="B5" s="1" t="s">
        <v>224</v>
      </c>
      <c r="C5" s="13">
        <v>7500</v>
      </c>
      <c r="D5" s="5">
        <v>35206</v>
      </c>
      <c r="E5" s="3" t="str">
        <f>TEXT(D5,"mmmm")</f>
        <v>May</v>
      </c>
      <c r="F5" s="5">
        <f ca="1">YEARFRAC(TODAY(),D5)</f>
        <v>29.25</v>
      </c>
      <c r="G5" s="1" t="s">
        <v>3</v>
      </c>
      <c r="H5" s="1" t="s">
        <v>5</v>
      </c>
      <c r="I5" s="1" t="s">
        <v>9</v>
      </c>
      <c r="J5" t="str">
        <f>IF(C5&gt;12000,"Reajustar","No Reajustar")</f>
        <v>No Reajustar</v>
      </c>
      <c r="M5" s="1"/>
      <c r="N5" s="1" t="s">
        <v>5</v>
      </c>
    </row>
    <row r="6" spans="1:16" x14ac:dyDescent="0.3">
      <c r="A6" s="1" t="s">
        <v>215</v>
      </c>
      <c r="B6" s="1" t="s">
        <v>220</v>
      </c>
      <c r="C6" s="13">
        <v>3520</v>
      </c>
      <c r="D6" s="5">
        <v>35091</v>
      </c>
      <c r="E6" s="3" t="str">
        <f>TEXT(D6,"mmmm")</f>
        <v>January</v>
      </c>
      <c r="F6" s="5">
        <f ca="1">YEARFRAC(TODAY(),D6)</f>
        <v>29.566666666666666</v>
      </c>
      <c r="G6" s="1" t="s">
        <v>8</v>
      </c>
      <c r="H6" s="1" t="s">
        <v>12</v>
      </c>
      <c r="I6" s="1" t="s">
        <v>9</v>
      </c>
      <c r="J6" t="str">
        <f>IF(C6&gt;12000,"Reajustar","No Reajustar")</f>
        <v>No Reajustar</v>
      </c>
      <c r="M6"/>
      <c r="N6"/>
      <c r="O6" s="1"/>
    </row>
    <row r="7" spans="1:16" x14ac:dyDescent="0.3">
      <c r="A7" s="1" t="s">
        <v>214</v>
      </c>
      <c r="B7" s="1" t="s">
        <v>226</v>
      </c>
      <c r="C7" s="13">
        <v>10000</v>
      </c>
      <c r="D7" s="5">
        <v>35007</v>
      </c>
      <c r="E7" s="3" t="str">
        <f>TEXT(D7,"mmmm")</f>
        <v>November</v>
      </c>
      <c r="F7" s="5">
        <f ca="1">YEARFRAC(TODAY(),D7)</f>
        <v>29.797222222222221</v>
      </c>
      <c r="G7" s="1" t="s">
        <v>8</v>
      </c>
      <c r="H7" s="1" t="s">
        <v>5</v>
      </c>
      <c r="I7" s="1" t="s">
        <v>9</v>
      </c>
      <c r="J7" t="str">
        <f>IF(C7&gt;12000,"Reajustar","No Reajustar")</f>
        <v>No Reajustar</v>
      </c>
      <c r="M7"/>
      <c r="N7"/>
      <c r="O7" s="1"/>
    </row>
    <row r="8" spans="1:16" x14ac:dyDescent="0.3">
      <c r="A8" s="1" t="s">
        <v>213</v>
      </c>
      <c r="B8" s="1" t="s">
        <v>225</v>
      </c>
      <c r="C8" s="13">
        <v>5940</v>
      </c>
      <c r="D8" s="5">
        <v>34962</v>
      </c>
      <c r="E8" s="3" t="str">
        <f>TEXT(D8,"mmmm")</f>
        <v>September</v>
      </c>
      <c r="F8" s="5">
        <f ca="1">YEARFRAC(TODAY(),D8)</f>
        <v>29.919444444444444</v>
      </c>
      <c r="G8" s="1" t="s">
        <v>8</v>
      </c>
      <c r="H8" s="1" t="s">
        <v>12</v>
      </c>
      <c r="I8" s="1" t="s">
        <v>10</v>
      </c>
      <c r="J8" t="str">
        <f>IF(C8&gt;12000,"Reajustar","No Reajustar")</f>
        <v>No Reajustar</v>
      </c>
      <c r="M8"/>
      <c r="N8"/>
      <c r="O8" s="1"/>
    </row>
    <row r="9" spans="1:16" x14ac:dyDescent="0.3">
      <c r="A9" s="1" t="s">
        <v>212</v>
      </c>
      <c r="B9" s="1" t="s">
        <v>244</v>
      </c>
      <c r="C9" s="13">
        <v>11880</v>
      </c>
      <c r="D9" s="5">
        <v>34807</v>
      </c>
      <c r="E9" s="3" t="str">
        <f>TEXT(D9,"mmmm")</f>
        <v>April</v>
      </c>
      <c r="F9" s="5">
        <f ca="1">YEARFRAC(TODAY(),D9)</f>
        <v>30.341666666666665</v>
      </c>
      <c r="G9" s="1" t="s">
        <v>8</v>
      </c>
      <c r="H9" s="1" t="s">
        <v>5</v>
      </c>
      <c r="I9" s="1" t="s">
        <v>9</v>
      </c>
      <c r="J9" t="str">
        <f>IF(C9&gt;12000,"Reajustar","No Reajustar")</f>
        <v>No Reajustar</v>
      </c>
      <c r="M9"/>
      <c r="N9"/>
    </row>
    <row r="10" spans="1:16" x14ac:dyDescent="0.3">
      <c r="A10" s="1" t="s">
        <v>211</v>
      </c>
      <c r="B10" s="1" t="s">
        <v>220</v>
      </c>
      <c r="C10" s="13">
        <v>4180</v>
      </c>
      <c r="D10" s="5">
        <v>34708</v>
      </c>
      <c r="E10" s="3" t="str">
        <f>TEXT(D10,"mmmm")</f>
        <v>January</v>
      </c>
      <c r="F10" s="5">
        <f ca="1">YEARFRAC(TODAY(),D10)</f>
        <v>30.616666666666667</v>
      </c>
      <c r="G10" s="1" t="s">
        <v>3</v>
      </c>
      <c r="H10" s="1" t="s">
        <v>12</v>
      </c>
      <c r="I10" s="1" t="s">
        <v>9</v>
      </c>
      <c r="J10" t="str">
        <f>IF(C10&gt;12000,"Reajustar","No Reajustar")</f>
        <v>No Reajustar</v>
      </c>
      <c r="M10"/>
      <c r="N10"/>
    </row>
    <row r="11" spans="1:16" x14ac:dyDescent="0.3">
      <c r="A11" s="1" t="s">
        <v>210</v>
      </c>
      <c r="B11" s="1" t="s">
        <v>223</v>
      </c>
      <c r="C11" s="13">
        <v>5350</v>
      </c>
      <c r="D11" s="5">
        <v>34672</v>
      </c>
      <c r="E11" s="3" t="str">
        <f>TEXT(D11,"mmmm")</f>
        <v>December</v>
      </c>
      <c r="F11" s="5">
        <f ca="1">YEARFRAC(TODAY(),D11)</f>
        <v>30.713888888888889</v>
      </c>
      <c r="G11" s="1" t="s">
        <v>3</v>
      </c>
      <c r="H11" s="1" t="s">
        <v>5</v>
      </c>
      <c r="I11" s="1" t="s">
        <v>9</v>
      </c>
      <c r="J11" t="str">
        <f>IF(C11&gt;12000,"Reajustar","No Reajustar")</f>
        <v>No Reajustar</v>
      </c>
      <c r="M11"/>
      <c r="N11"/>
    </row>
    <row r="12" spans="1:16" x14ac:dyDescent="0.3">
      <c r="A12" s="1" t="s">
        <v>209</v>
      </c>
      <c r="B12" s="1" t="s">
        <v>229</v>
      </c>
      <c r="C12" s="13">
        <v>9240</v>
      </c>
      <c r="D12" s="5">
        <v>34661</v>
      </c>
      <c r="E12" s="3" t="str">
        <f>TEXT(D12,"mmmm")</f>
        <v>November</v>
      </c>
      <c r="F12" s="5">
        <f ca="1">YEARFRAC(TODAY(),D12)</f>
        <v>30.744444444444444</v>
      </c>
      <c r="G12" s="1" t="s">
        <v>3</v>
      </c>
      <c r="H12" s="1" t="s">
        <v>4</v>
      </c>
      <c r="I12" s="1" t="s">
        <v>9</v>
      </c>
      <c r="J12" t="str">
        <f>IF(C12&gt;12000,"Reajustar","No Reajustar")</f>
        <v>No Reajustar</v>
      </c>
      <c r="M12"/>
      <c r="N12"/>
    </row>
    <row r="13" spans="1:16" x14ac:dyDescent="0.3">
      <c r="A13" s="1" t="s">
        <v>208</v>
      </c>
      <c r="B13" s="1" t="s">
        <v>224</v>
      </c>
      <c r="C13" s="13">
        <v>7500</v>
      </c>
      <c r="D13" s="5">
        <v>34644</v>
      </c>
      <c r="E13" s="3" t="str">
        <f>TEXT(D13,"mmmm")</f>
        <v>November</v>
      </c>
      <c r="F13" s="5">
        <f ca="1">YEARFRAC(TODAY(),D13)</f>
        <v>30.791666666666668</v>
      </c>
      <c r="G13" s="1" t="s">
        <v>8</v>
      </c>
      <c r="H13" s="1" t="s">
        <v>5</v>
      </c>
      <c r="I13" s="1" t="s">
        <v>9</v>
      </c>
      <c r="J13" t="str">
        <f>IF(C13&gt;12000,"Reajustar","No Reajustar")</f>
        <v>No Reajustar</v>
      </c>
      <c r="M13"/>
      <c r="N13"/>
    </row>
    <row r="14" spans="1:16" x14ac:dyDescent="0.3">
      <c r="A14" s="1" t="s">
        <v>207</v>
      </c>
      <c r="B14" s="1" t="s">
        <v>220</v>
      </c>
      <c r="C14" s="13">
        <v>3960</v>
      </c>
      <c r="D14" s="5">
        <v>34624</v>
      </c>
      <c r="E14" s="3" t="str">
        <f>TEXT(D14,"mmmm")</f>
        <v>October</v>
      </c>
      <c r="F14" s="5">
        <f ca="1">YEARFRAC(TODAY(),D14)</f>
        <v>30.844444444444445</v>
      </c>
      <c r="G14" s="1" t="s">
        <v>3</v>
      </c>
      <c r="H14" s="1" t="s">
        <v>12</v>
      </c>
      <c r="I14" s="1" t="s">
        <v>10</v>
      </c>
      <c r="J14" t="str">
        <f>IF(C14&gt;12000,"Reajustar","No Reajustar")</f>
        <v>No Reajustar</v>
      </c>
      <c r="M14"/>
      <c r="N14"/>
    </row>
    <row r="15" spans="1:16" x14ac:dyDescent="0.3">
      <c r="A15" s="1" t="s">
        <v>206</v>
      </c>
      <c r="B15" s="1" t="s">
        <v>224</v>
      </c>
      <c r="C15" s="13">
        <v>8600</v>
      </c>
      <c r="D15" s="5">
        <v>34598</v>
      </c>
      <c r="E15" s="3" t="str">
        <f>TEXT(D15,"mmmm")</f>
        <v>September</v>
      </c>
      <c r="F15" s="5">
        <f ca="1">YEARFRAC(TODAY(),D15)</f>
        <v>30.916666666666668</v>
      </c>
      <c r="G15" s="1" t="s">
        <v>8</v>
      </c>
      <c r="H15" s="1" t="s">
        <v>5</v>
      </c>
      <c r="I15" s="1" t="s">
        <v>9</v>
      </c>
      <c r="J15" t="str">
        <f>IF(C15&gt;12000,"Reajustar","No Reajustar")</f>
        <v>No Reajustar</v>
      </c>
      <c r="M15"/>
      <c r="N15"/>
    </row>
    <row r="16" spans="1:16" x14ac:dyDescent="0.3">
      <c r="A16" s="1" t="s">
        <v>205</v>
      </c>
      <c r="B16" s="1" t="s">
        <v>225</v>
      </c>
      <c r="C16" s="13">
        <v>5280</v>
      </c>
      <c r="D16" s="5">
        <v>34570</v>
      </c>
      <c r="E16" s="3" t="str">
        <f>TEXT(D16,"mmmm")</f>
        <v>August</v>
      </c>
      <c r="F16" s="5">
        <f ca="1">YEARFRAC(TODAY(),D16)</f>
        <v>30.991666666666667</v>
      </c>
      <c r="G16" s="1" t="s">
        <v>8</v>
      </c>
      <c r="H16" s="1" t="s">
        <v>12</v>
      </c>
      <c r="I16" s="1" t="s">
        <v>10</v>
      </c>
      <c r="J16" t="str">
        <f>IF(C16&gt;12000,"Reajustar","No Reajustar")</f>
        <v>No Reajustar</v>
      </c>
      <c r="M16"/>
      <c r="N16"/>
    </row>
    <row r="17" spans="1:14" x14ac:dyDescent="0.3">
      <c r="A17" s="1" t="s">
        <v>204</v>
      </c>
      <c r="B17" s="1" t="s">
        <v>240</v>
      </c>
      <c r="C17" s="13">
        <v>7500</v>
      </c>
      <c r="D17" s="5">
        <v>34514</v>
      </c>
      <c r="E17" s="3" t="str">
        <f>TEXT(D17,"mmmm")</f>
        <v>June</v>
      </c>
      <c r="F17" s="5">
        <f ca="1">YEARFRAC(TODAY(),D17)</f>
        <v>31.144444444444446</v>
      </c>
      <c r="G17" s="1" t="s">
        <v>3</v>
      </c>
      <c r="H17" s="1" t="s">
        <v>4</v>
      </c>
      <c r="I17" s="1" t="s">
        <v>9</v>
      </c>
      <c r="J17" t="str">
        <f>IF(C17&gt;12000,"Reajustar","No Reajustar")</f>
        <v>No Reajustar</v>
      </c>
      <c r="M17"/>
      <c r="N17"/>
    </row>
    <row r="18" spans="1:14" x14ac:dyDescent="0.3">
      <c r="A18" s="1" t="s">
        <v>203</v>
      </c>
      <c r="B18" s="1" t="s">
        <v>224</v>
      </c>
      <c r="C18" s="13">
        <v>8000</v>
      </c>
      <c r="D18" s="5">
        <v>34423</v>
      </c>
      <c r="E18" s="3" t="str">
        <f>TEXT(D18,"mmmm")</f>
        <v>March</v>
      </c>
      <c r="F18" s="5">
        <f ca="1">YEARFRAC(TODAY(),D18)</f>
        <v>31.391666666666666</v>
      </c>
      <c r="G18" s="1" t="s">
        <v>8</v>
      </c>
      <c r="H18" s="1" t="s">
        <v>5</v>
      </c>
      <c r="I18" s="1" t="s">
        <v>9</v>
      </c>
      <c r="J18" t="str">
        <f>IF(C18&gt;12000,"Reajustar","No Reajustar")</f>
        <v>No Reajustar</v>
      </c>
      <c r="M18"/>
      <c r="N18"/>
    </row>
    <row r="19" spans="1:14" x14ac:dyDescent="0.3">
      <c r="A19" s="1" t="s">
        <v>202</v>
      </c>
      <c r="B19" s="1" t="s">
        <v>220</v>
      </c>
      <c r="C19" s="13">
        <v>3520</v>
      </c>
      <c r="D19" s="5">
        <v>34342</v>
      </c>
      <c r="E19" s="3" t="str">
        <f>TEXT(D19,"mmmm")</f>
        <v>January</v>
      </c>
      <c r="F19" s="5">
        <f ca="1">YEARFRAC(TODAY(),D19)</f>
        <v>31.619444444444444</v>
      </c>
      <c r="G19" s="1" t="s">
        <v>3</v>
      </c>
      <c r="H19" s="1" t="s">
        <v>12</v>
      </c>
      <c r="I19" s="1" t="s">
        <v>14</v>
      </c>
      <c r="J19" t="str">
        <f>IF(C19&gt;12000,"Reajustar","No Reajustar")</f>
        <v>No Reajustar</v>
      </c>
      <c r="M19"/>
      <c r="N19"/>
    </row>
    <row r="20" spans="1:14" x14ac:dyDescent="0.3">
      <c r="A20" s="1" t="s">
        <v>201</v>
      </c>
      <c r="B20" s="1" t="s">
        <v>223</v>
      </c>
      <c r="C20" s="13">
        <v>5400</v>
      </c>
      <c r="D20" s="5">
        <v>34329</v>
      </c>
      <c r="E20" s="3" t="str">
        <f>TEXT(D20,"mmmm")</f>
        <v>December</v>
      </c>
      <c r="F20" s="5">
        <f ca="1">YEARFRAC(TODAY(),D20)</f>
        <v>31.652777777777779</v>
      </c>
      <c r="G20" s="1" t="s">
        <v>8</v>
      </c>
      <c r="H20" s="1" t="s">
        <v>5</v>
      </c>
      <c r="I20" s="1" t="s">
        <v>9</v>
      </c>
      <c r="J20" t="str">
        <f>IF(C20&gt;12000,"Reajustar","No Reajustar")</f>
        <v>No Reajustar</v>
      </c>
      <c r="M20"/>
      <c r="N20"/>
    </row>
    <row r="21" spans="1:14" x14ac:dyDescent="0.3">
      <c r="A21" s="1" t="s">
        <v>200</v>
      </c>
      <c r="B21" s="1" t="s">
        <v>225</v>
      </c>
      <c r="C21" s="13">
        <v>5280</v>
      </c>
      <c r="D21" s="5">
        <v>34249</v>
      </c>
      <c r="E21" s="3" t="str">
        <f>TEXT(D21,"mmmm")</f>
        <v>October</v>
      </c>
      <c r="F21" s="5">
        <f ca="1">YEARFRAC(TODAY(),D21)</f>
        <v>31.872222222222224</v>
      </c>
      <c r="G21" s="1" t="s">
        <v>8</v>
      </c>
      <c r="H21" s="1" t="s">
        <v>12</v>
      </c>
      <c r="I21" s="1" t="s">
        <v>9</v>
      </c>
      <c r="J21" t="str">
        <f>IF(C21&gt;12000,"Reajustar","No Reajustar")</f>
        <v>No Reajustar</v>
      </c>
      <c r="M21"/>
      <c r="N21"/>
    </row>
    <row r="22" spans="1:14" x14ac:dyDescent="0.3">
      <c r="A22" s="1" t="s">
        <v>199</v>
      </c>
      <c r="B22" s="1" t="s">
        <v>220</v>
      </c>
      <c r="C22" s="13">
        <v>4620</v>
      </c>
      <c r="D22" s="5">
        <v>34248</v>
      </c>
      <c r="E22" s="3" t="str">
        <f>TEXT(D22,"mmmm")</f>
        <v>October</v>
      </c>
      <c r="F22" s="5">
        <f ca="1">YEARFRAC(TODAY(),D22)</f>
        <v>31.875</v>
      </c>
      <c r="G22" s="1" t="s">
        <v>3</v>
      </c>
      <c r="H22" s="1" t="s">
        <v>12</v>
      </c>
      <c r="I22" s="1" t="s">
        <v>9</v>
      </c>
      <c r="J22" t="str">
        <f>IF(C22&gt;12000,"Reajustar","No Reajustar")</f>
        <v>No Reajustar</v>
      </c>
      <c r="M22"/>
      <c r="N22"/>
    </row>
    <row r="23" spans="1:14" x14ac:dyDescent="0.3">
      <c r="A23" s="1" t="s">
        <v>198</v>
      </c>
      <c r="B23" s="1" t="s">
        <v>220</v>
      </c>
      <c r="C23" s="13">
        <v>4620</v>
      </c>
      <c r="D23" s="5">
        <v>34238</v>
      </c>
      <c r="E23" s="3" t="str">
        <f>TEXT(D23,"mmmm")</f>
        <v>September</v>
      </c>
      <c r="F23" s="5">
        <f ca="1">YEARFRAC(TODAY(),D23)</f>
        <v>31.902777777777779</v>
      </c>
      <c r="G23" s="1" t="s">
        <v>3</v>
      </c>
      <c r="H23" s="1" t="s">
        <v>12</v>
      </c>
      <c r="I23" s="1" t="s">
        <v>9</v>
      </c>
      <c r="J23" t="str">
        <f>IF(C23&gt;12000,"Reajustar","No Reajustar")</f>
        <v>No Reajustar</v>
      </c>
      <c r="M23"/>
      <c r="N23"/>
    </row>
    <row r="24" spans="1:14" x14ac:dyDescent="0.3">
      <c r="A24" s="1" t="s">
        <v>197</v>
      </c>
      <c r="B24" s="1" t="s">
        <v>223</v>
      </c>
      <c r="C24" s="13">
        <v>4250</v>
      </c>
      <c r="D24" s="5">
        <v>34225</v>
      </c>
      <c r="E24" s="3" t="str">
        <f>TEXT(D24,"mmmm")</f>
        <v>September</v>
      </c>
      <c r="F24" s="5">
        <f ca="1">YEARFRAC(TODAY(),D24)</f>
        <v>31.93888888888889</v>
      </c>
      <c r="G24" s="1" t="s">
        <v>3</v>
      </c>
      <c r="H24" s="1" t="s">
        <v>5</v>
      </c>
      <c r="I24" s="1" t="s">
        <v>9</v>
      </c>
      <c r="J24" t="str">
        <f>IF(C24&gt;12000,"Reajustar","No Reajustar")</f>
        <v>No Reajustar</v>
      </c>
      <c r="M24"/>
      <c r="N24"/>
    </row>
    <row r="25" spans="1:14" x14ac:dyDescent="0.3">
      <c r="A25" s="1" t="s">
        <v>196</v>
      </c>
      <c r="B25" s="1" t="s">
        <v>226</v>
      </c>
      <c r="C25" s="13">
        <v>10500</v>
      </c>
      <c r="D25" s="5">
        <v>34209</v>
      </c>
      <c r="E25" s="3" t="str">
        <f>TEXT(D25,"mmmm")</f>
        <v>August</v>
      </c>
      <c r="F25" s="5">
        <f ca="1">YEARFRAC(TODAY(),D25)</f>
        <v>31.980555555555554</v>
      </c>
      <c r="G25" s="1" t="s">
        <v>3</v>
      </c>
      <c r="H25" s="1" t="s">
        <v>5</v>
      </c>
      <c r="I25" s="1" t="s">
        <v>9</v>
      </c>
      <c r="J25" t="str">
        <f>IF(C25&gt;12000,"Reajustar","No Reajustar")</f>
        <v>No Reajustar</v>
      </c>
      <c r="M25"/>
      <c r="N25"/>
    </row>
    <row r="26" spans="1:14" x14ac:dyDescent="0.3">
      <c r="A26" s="1" t="s">
        <v>195</v>
      </c>
      <c r="B26" s="1" t="s">
        <v>224</v>
      </c>
      <c r="C26" s="13">
        <v>8600</v>
      </c>
      <c r="D26" s="5">
        <v>34191</v>
      </c>
      <c r="E26" s="3" t="str">
        <f>TEXT(D26,"mmmm")</f>
        <v>August</v>
      </c>
      <c r="F26" s="5">
        <f ca="1">YEARFRAC(TODAY(),D26)</f>
        <v>32.030555555555559</v>
      </c>
      <c r="G26" s="1" t="s">
        <v>8</v>
      </c>
      <c r="H26" s="1" t="s">
        <v>5</v>
      </c>
      <c r="I26" s="1" t="s">
        <v>14</v>
      </c>
      <c r="J26" t="str">
        <f>IF(C26&gt;12000,"Reajustar","No Reajustar")</f>
        <v>No Reajustar</v>
      </c>
      <c r="M26"/>
      <c r="N26"/>
    </row>
    <row r="27" spans="1:14" x14ac:dyDescent="0.3">
      <c r="A27" s="1" t="s">
        <v>194</v>
      </c>
      <c r="B27" s="1" t="s">
        <v>229</v>
      </c>
      <c r="C27" s="13">
        <v>8140</v>
      </c>
      <c r="D27" s="5">
        <v>34167</v>
      </c>
      <c r="E27" s="3" t="str">
        <f>TEXT(D27,"mmmm")</f>
        <v>July</v>
      </c>
      <c r="F27" s="5">
        <f ca="1">YEARFRAC(TODAY(),D27)</f>
        <v>32.094444444444441</v>
      </c>
      <c r="G27" s="1" t="s">
        <v>3</v>
      </c>
      <c r="H27" s="1" t="s">
        <v>4</v>
      </c>
      <c r="I27" s="1" t="s">
        <v>9</v>
      </c>
      <c r="J27" t="str">
        <f>IF(C27&gt;12000,"Reajustar","No Reajustar")</f>
        <v>No Reajustar</v>
      </c>
      <c r="M27"/>
      <c r="N27"/>
    </row>
    <row r="28" spans="1:14" x14ac:dyDescent="0.3">
      <c r="A28" s="1" t="s">
        <v>193</v>
      </c>
      <c r="B28" s="1" t="s">
        <v>229</v>
      </c>
      <c r="C28" s="13">
        <v>9900</v>
      </c>
      <c r="D28" s="5">
        <v>34150</v>
      </c>
      <c r="E28" s="3" t="str">
        <f>TEXT(D28,"mmmm")</f>
        <v>June</v>
      </c>
      <c r="F28" s="5">
        <f ca="1">YEARFRAC(TODAY(),D28)</f>
        <v>32.141666666666666</v>
      </c>
      <c r="G28" s="1" t="s">
        <v>8</v>
      </c>
      <c r="H28" s="1" t="s">
        <v>4</v>
      </c>
      <c r="I28" s="1" t="s">
        <v>9</v>
      </c>
      <c r="J28" t="str">
        <f>IF(C28&gt;12000,"Reajustar","No Reajustar")</f>
        <v>No Reajustar</v>
      </c>
      <c r="M28"/>
      <c r="N28"/>
    </row>
    <row r="29" spans="1:14" x14ac:dyDescent="0.3">
      <c r="A29" s="1" t="s">
        <v>192</v>
      </c>
      <c r="B29" s="1" t="s">
        <v>220</v>
      </c>
      <c r="C29" s="13">
        <v>4840</v>
      </c>
      <c r="D29" s="5">
        <v>34119</v>
      </c>
      <c r="E29" s="3" t="str">
        <f>TEXT(D29,"mmmm")</f>
        <v>May</v>
      </c>
      <c r="F29" s="5">
        <f ca="1">YEARFRAC(TODAY(),D29)</f>
        <v>32.225000000000001</v>
      </c>
      <c r="G29" s="1" t="s">
        <v>8</v>
      </c>
      <c r="H29" s="1" t="s">
        <v>12</v>
      </c>
      <c r="I29" s="1" t="s">
        <v>9</v>
      </c>
      <c r="J29" t="str">
        <f>IF(C29&gt;12000,"Reajustar","No Reajustar")</f>
        <v>No Reajustar</v>
      </c>
      <c r="M29"/>
      <c r="N29"/>
    </row>
    <row r="30" spans="1:14" x14ac:dyDescent="0.3">
      <c r="A30" s="1" t="s">
        <v>191</v>
      </c>
      <c r="B30" s="1" t="s">
        <v>246</v>
      </c>
      <c r="C30" s="13">
        <v>3643</v>
      </c>
      <c r="D30" s="5">
        <v>34107</v>
      </c>
      <c r="E30" s="3" t="str">
        <f>TEXT(D30,"mmmm")</f>
        <v>May</v>
      </c>
      <c r="F30" s="5">
        <f ca="1">YEARFRAC(TODAY(),D30)</f>
        <v>32.258333333333333</v>
      </c>
      <c r="G30" s="1" t="s">
        <v>8</v>
      </c>
      <c r="H30" s="1" t="s">
        <v>11</v>
      </c>
      <c r="I30" s="1" t="s">
        <v>9</v>
      </c>
      <c r="J30" t="str">
        <f>IF(C30&gt;12000,"Reajustar","No Reajustar")</f>
        <v>No Reajustar</v>
      </c>
      <c r="M30"/>
      <c r="N30"/>
    </row>
    <row r="31" spans="1:14" x14ac:dyDescent="0.3">
      <c r="A31" s="1" t="s">
        <v>190</v>
      </c>
      <c r="B31" s="1" t="s">
        <v>229</v>
      </c>
      <c r="C31" s="13">
        <v>5720</v>
      </c>
      <c r="D31" s="5">
        <v>34098</v>
      </c>
      <c r="E31" s="3" t="str">
        <f>TEXT(D31,"mmmm")</f>
        <v>May</v>
      </c>
      <c r="F31" s="5">
        <f ca="1">YEARFRAC(TODAY(),D31)</f>
        <v>32.283333333333331</v>
      </c>
      <c r="G31" s="1" t="s">
        <v>8</v>
      </c>
      <c r="H31" s="1" t="s">
        <v>4</v>
      </c>
      <c r="I31" s="1" t="s">
        <v>14</v>
      </c>
      <c r="J31" t="str">
        <f>IF(C31&gt;12000,"Reajustar","No Reajustar")</f>
        <v>No Reajustar</v>
      </c>
      <c r="M31"/>
      <c r="N31"/>
    </row>
    <row r="32" spans="1:14" x14ac:dyDescent="0.3">
      <c r="A32" s="1" t="s">
        <v>189</v>
      </c>
      <c r="B32" s="1" t="s">
        <v>241</v>
      </c>
      <c r="C32" s="13">
        <v>7810</v>
      </c>
      <c r="D32" s="5">
        <v>34065</v>
      </c>
      <c r="E32" s="3" t="str">
        <f>TEXT(D32,"mmmm")</f>
        <v>April</v>
      </c>
      <c r="F32" s="5">
        <f ca="1">YEARFRAC(TODAY(),D32)</f>
        <v>32.375</v>
      </c>
      <c r="G32" s="1" t="s">
        <v>8</v>
      </c>
      <c r="H32" s="1" t="s">
        <v>4</v>
      </c>
      <c r="I32" s="1" t="s">
        <v>14</v>
      </c>
      <c r="J32" t="str">
        <f>IF(C32&gt;12000,"Reajustar","No Reajustar")</f>
        <v>No Reajustar</v>
      </c>
      <c r="M32"/>
      <c r="N32"/>
    </row>
    <row r="33" spans="1:14" x14ac:dyDescent="0.3">
      <c r="A33" s="1" t="s">
        <v>188</v>
      </c>
      <c r="B33" s="1" t="s">
        <v>243</v>
      </c>
      <c r="C33" s="13">
        <v>6270</v>
      </c>
      <c r="D33" s="5">
        <v>33930</v>
      </c>
      <c r="E33" s="3" t="str">
        <f>TEXT(D33,"mmmm")</f>
        <v>November</v>
      </c>
      <c r="F33" s="5">
        <f ca="1">YEARFRAC(TODAY(),D33)</f>
        <v>32.74722222222222</v>
      </c>
      <c r="G33" s="1" t="s">
        <v>3</v>
      </c>
      <c r="H33" s="1" t="s">
        <v>11</v>
      </c>
      <c r="I33" s="1" t="s">
        <v>9</v>
      </c>
      <c r="J33" t="str">
        <f>IF(C33&gt;12000,"Reajustar","No Reajustar")</f>
        <v>No Reajustar</v>
      </c>
      <c r="M33"/>
      <c r="N33"/>
    </row>
    <row r="34" spans="1:14" x14ac:dyDescent="0.3">
      <c r="A34" s="1" t="s">
        <v>187</v>
      </c>
      <c r="B34" s="1" t="s">
        <v>240</v>
      </c>
      <c r="C34" s="13">
        <v>7500</v>
      </c>
      <c r="D34" s="5">
        <v>33899</v>
      </c>
      <c r="E34" s="3" t="str">
        <f>TEXT(D34,"mmmm")</f>
        <v>October</v>
      </c>
      <c r="F34" s="5">
        <f ca="1">YEARFRAC(TODAY(),D34)</f>
        <v>32.830555555555556</v>
      </c>
      <c r="G34" s="1" t="s">
        <v>3</v>
      </c>
      <c r="H34" s="1" t="s">
        <v>4</v>
      </c>
      <c r="I34" s="1" t="s">
        <v>9</v>
      </c>
      <c r="J34" t="str">
        <f>IF(C34&gt;12000,"Reajustar","No Reajustar")</f>
        <v>No Reajustar</v>
      </c>
      <c r="M34"/>
      <c r="N34"/>
    </row>
    <row r="35" spans="1:14" x14ac:dyDescent="0.3">
      <c r="A35" s="1" t="s">
        <v>186</v>
      </c>
      <c r="B35" s="1" t="s">
        <v>220</v>
      </c>
      <c r="C35" s="13">
        <v>4345</v>
      </c>
      <c r="D35" s="5">
        <v>33879</v>
      </c>
      <c r="E35" s="3" t="str">
        <f>TEXT(D35,"mmmm")</f>
        <v>October</v>
      </c>
      <c r="F35" s="5">
        <f ca="1">YEARFRAC(TODAY(),D35)</f>
        <v>32.886111111111113</v>
      </c>
      <c r="G35" s="1" t="s">
        <v>8</v>
      </c>
      <c r="H35" s="1" t="s">
        <v>12</v>
      </c>
      <c r="I35" s="1" t="s">
        <v>9</v>
      </c>
      <c r="J35" t="str">
        <f>IF(C35&gt;12000,"Reajustar","No Reajustar")</f>
        <v>No Reajustar</v>
      </c>
      <c r="M35"/>
      <c r="N35"/>
    </row>
    <row r="36" spans="1:14" x14ac:dyDescent="0.3">
      <c r="A36" s="1" t="s">
        <v>185</v>
      </c>
      <c r="B36" s="1" t="s">
        <v>225</v>
      </c>
      <c r="C36" s="13">
        <v>5280</v>
      </c>
      <c r="D36" s="5">
        <v>33872</v>
      </c>
      <c r="E36" s="3" t="str">
        <f>TEXT(D36,"mmmm")</f>
        <v>September</v>
      </c>
      <c r="F36" s="5">
        <f ca="1">YEARFRAC(TODAY(),D36)</f>
        <v>32.905555555555559</v>
      </c>
      <c r="G36" s="1" t="s">
        <v>8</v>
      </c>
      <c r="H36" s="1" t="s">
        <v>12</v>
      </c>
      <c r="I36" s="1" t="s">
        <v>9</v>
      </c>
      <c r="J36" t="str">
        <f>IF(C36&gt;12000,"Reajustar","No Reajustar")</f>
        <v>No Reajustar</v>
      </c>
      <c r="M36"/>
      <c r="N36"/>
    </row>
    <row r="37" spans="1:14" x14ac:dyDescent="0.3">
      <c r="A37" s="1" t="s">
        <v>184</v>
      </c>
      <c r="B37" s="1" t="s">
        <v>231</v>
      </c>
      <c r="C37" s="13">
        <v>12212</v>
      </c>
      <c r="D37" s="5">
        <v>33794</v>
      </c>
      <c r="E37" s="3" t="str">
        <f>TEXT(D37,"mmmm")</f>
        <v>July</v>
      </c>
      <c r="F37" s="5">
        <f ca="1">YEARFRAC(TODAY(),D37)</f>
        <v>33.116666666666667</v>
      </c>
      <c r="G37" s="1" t="s">
        <v>8</v>
      </c>
      <c r="H37" s="1" t="s">
        <v>4</v>
      </c>
      <c r="I37" s="1" t="s">
        <v>9</v>
      </c>
      <c r="J37" t="str">
        <f>IF(C37&gt;12000,"Reajustar","No Reajustar")</f>
        <v>Reajustar</v>
      </c>
      <c r="M37"/>
      <c r="N37"/>
    </row>
    <row r="38" spans="1:14" x14ac:dyDescent="0.3">
      <c r="A38" s="1" t="s">
        <v>183</v>
      </c>
      <c r="B38" s="1" t="s">
        <v>220</v>
      </c>
      <c r="C38" s="13">
        <v>5280</v>
      </c>
      <c r="D38" s="5">
        <v>33784</v>
      </c>
      <c r="E38" s="3" t="str">
        <f>TEXT(D38,"mmmm")</f>
        <v>June</v>
      </c>
      <c r="F38" s="5">
        <f ca="1">YEARFRAC(TODAY(),D38)</f>
        <v>33.144444444444446</v>
      </c>
      <c r="G38" s="1" t="s">
        <v>3</v>
      </c>
      <c r="H38" s="1" t="s">
        <v>12</v>
      </c>
      <c r="I38" s="1" t="s">
        <v>9</v>
      </c>
      <c r="J38" t="str">
        <f>IF(C38&gt;12000,"Reajustar","No Reajustar")</f>
        <v>No Reajustar</v>
      </c>
      <c r="M38"/>
      <c r="N38"/>
    </row>
    <row r="39" spans="1:14" x14ac:dyDescent="0.3">
      <c r="A39" s="1" t="s">
        <v>182</v>
      </c>
      <c r="B39" s="1" t="s">
        <v>231</v>
      </c>
      <c r="C39" s="13">
        <v>9460</v>
      </c>
      <c r="D39" s="5">
        <v>33771</v>
      </c>
      <c r="E39" s="3" t="str">
        <f>TEXT(D39,"mmmm")</f>
        <v>June</v>
      </c>
      <c r="F39" s="5">
        <f ca="1">YEARFRAC(TODAY(),D39)</f>
        <v>33.180555555555557</v>
      </c>
      <c r="G39" s="1" t="s">
        <v>8</v>
      </c>
      <c r="H39" s="1" t="s">
        <v>4</v>
      </c>
      <c r="I39" s="1" t="s">
        <v>10</v>
      </c>
      <c r="J39" t="str">
        <f>IF(C39&gt;12000,"Reajustar","No Reajustar")</f>
        <v>No Reajustar</v>
      </c>
      <c r="M39"/>
      <c r="N39"/>
    </row>
    <row r="40" spans="1:14" x14ac:dyDescent="0.3">
      <c r="A40" s="1" t="s">
        <v>102</v>
      </c>
      <c r="B40" s="1" t="s">
        <v>232</v>
      </c>
      <c r="C40" s="13">
        <v>10000</v>
      </c>
      <c r="D40" s="5">
        <v>33767</v>
      </c>
      <c r="E40" s="3" t="str">
        <f>TEXT(D40,"mmmm")</f>
        <v>June</v>
      </c>
      <c r="F40" s="5">
        <f ca="1">YEARFRAC(TODAY(),D40)</f>
        <v>33.19166666666667</v>
      </c>
      <c r="G40" s="1" t="s">
        <v>8</v>
      </c>
      <c r="H40" s="1" t="s">
        <v>4</v>
      </c>
      <c r="I40" s="1" t="s">
        <v>9</v>
      </c>
      <c r="J40" t="str">
        <f>IF(C40&gt;12000,"Reajustar","No Reajustar")</f>
        <v>No Reajustar</v>
      </c>
      <c r="M40"/>
      <c r="N40"/>
    </row>
    <row r="41" spans="1:14" x14ac:dyDescent="0.3">
      <c r="A41" s="1" t="s">
        <v>181</v>
      </c>
      <c r="B41" s="1" t="s">
        <v>225</v>
      </c>
      <c r="C41" s="13">
        <v>5720</v>
      </c>
      <c r="D41" s="5">
        <v>33743</v>
      </c>
      <c r="E41" s="3" t="str">
        <f>TEXT(D41,"mmmm")</f>
        <v>May</v>
      </c>
      <c r="F41" s="5">
        <f ca="1">YEARFRAC(TODAY(),D41)</f>
        <v>33.255555555555553</v>
      </c>
      <c r="G41" s="1" t="s">
        <v>8</v>
      </c>
      <c r="H41" s="1" t="s">
        <v>12</v>
      </c>
      <c r="I41" s="1" t="s">
        <v>9</v>
      </c>
      <c r="J41" t="str">
        <f>IF(C41&gt;12000,"Reajustar","No Reajustar")</f>
        <v>No Reajustar</v>
      </c>
      <c r="M41"/>
      <c r="N41"/>
    </row>
    <row r="42" spans="1:14" x14ac:dyDescent="0.3">
      <c r="A42" s="1" t="s">
        <v>180</v>
      </c>
      <c r="B42" s="1" t="s">
        <v>223</v>
      </c>
      <c r="C42" s="13">
        <v>5400</v>
      </c>
      <c r="D42" s="5">
        <v>33736</v>
      </c>
      <c r="E42" s="3" t="str">
        <f>TEXT(D42,"mmmm")</f>
        <v>May</v>
      </c>
      <c r="F42" s="5">
        <f ca="1">YEARFRAC(TODAY(),D42)</f>
        <v>33.274999999999999</v>
      </c>
      <c r="G42" s="1" t="s">
        <v>8</v>
      </c>
      <c r="H42" s="1" t="s">
        <v>5</v>
      </c>
      <c r="I42" s="1" t="s">
        <v>10</v>
      </c>
      <c r="J42" t="str">
        <f>IF(C42&gt;12000,"Reajustar","No Reajustar")</f>
        <v>No Reajustar</v>
      </c>
      <c r="M42"/>
      <c r="N42"/>
    </row>
    <row r="43" spans="1:14" x14ac:dyDescent="0.3">
      <c r="A43" s="1" t="s">
        <v>179</v>
      </c>
      <c r="B43" s="1" t="s">
        <v>231</v>
      </c>
      <c r="C43" s="13">
        <v>12320</v>
      </c>
      <c r="D43" s="5">
        <v>33726</v>
      </c>
      <c r="E43" s="3" t="str">
        <f>TEXT(D43,"mmmm")</f>
        <v>May</v>
      </c>
      <c r="F43" s="5">
        <f ca="1">YEARFRAC(TODAY(),D43)</f>
        <v>33.302777777777777</v>
      </c>
      <c r="G43" s="1" t="s">
        <v>8</v>
      </c>
      <c r="H43" s="1" t="s">
        <v>4</v>
      </c>
      <c r="I43" s="1" t="s">
        <v>9</v>
      </c>
      <c r="J43" t="str">
        <f>IF(C43&gt;12000,"Reajustar","No Reajustar")</f>
        <v>Reajustar</v>
      </c>
      <c r="M43"/>
      <c r="N43"/>
    </row>
    <row r="44" spans="1:14" x14ac:dyDescent="0.3">
      <c r="A44" s="1" t="s">
        <v>178</v>
      </c>
      <c r="B44" s="1" t="s">
        <v>237</v>
      </c>
      <c r="C44" s="13">
        <v>7689</v>
      </c>
      <c r="D44" s="5">
        <v>33696</v>
      </c>
      <c r="E44" s="3" t="str">
        <f>TEXT(D44,"mmmm")</f>
        <v>April</v>
      </c>
      <c r="F44" s="5">
        <f ca="1">YEARFRAC(TODAY(),D44)</f>
        <v>33.386111111111113</v>
      </c>
      <c r="G44" s="1" t="s">
        <v>3</v>
      </c>
      <c r="H44" s="1" t="s">
        <v>11</v>
      </c>
      <c r="I44" s="1" t="s">
        <v>9</v>
      </c>
      <c r="J44" t="str">
        <f>IF(C44&gt;12000,"Reajustar","No Reajustar")</f>
        <v>No Reajustar</v>
      </c>
      <c r="M44"/>
      <c r="N44"/>
    </row>
    <row r="45" spans="1:14" x14ac:dyDescent="0.3">
      <c r="A45" s="1" t="s">
        <v>177</v>
      </c>
      <c r="B45" s="1" t="s">
        <v>220</v>
      </c>
      <c r="C45" s="13">
        <v>5060</v>
      </c>
      <c r="D45" s="5">
        <v>33516</v>
      </c>
      <c r="E45" s="3" t="str">
        <f>TEXT(D45,"mmmm")</f>
        <v>October</v>
      </c>
      <c r="F45" s="5">
        <f ca="1">YEARFRAC(TODAY(),D45)</f>
        <v>33.87777777777778</v>
      </c>
      <c r="G45" s="1" t="s">
        <v>8</v>
      </c>
      <c r="H45" s="1" t="s">
        <v>12</v>
      </c>
      <c r="I45" s="1" t="s">
        <v>9</v>
      </c>
      <c r="J45" t="str">
        <f>IF(C45&gt;12000,"Reajustar","No Reajustar")</f>
        <v>No Reajustar</v>
      </c>
      <c r="M45"/>
      <c r="N45"/>
    </row>
    <row r="46" spans="1:14" x14ac:dyDescent="0.3">
      <c r="A46" s="1" t="s">
        <v>176</v>
      </c>
      <c r="B46" s="1" t="s">
        <v>220</v>
      </c>
      <c r="C46" s="13">
        <v>3740</v>
      </c>
      <c r="D46" s="5">
        <v>33492</v>
      </c>
      <c r="E46" s="3" t="str">
        <f>TEXT(D46,"mmmm")</f>
        <v>September</v>
      </c>
      <c r="F46" s="5">
        <f ca="1">YEARFRAC(TODAY(),D46)</f>
        <v>33.944444444444443</v>
      </c>
      <c r="G46" s="1" t="s">
        <v>3</v>
      </c>
      <c r="H46" s="1" t="s">
        <v>12</v>
      </c>
      <c r="I46" s="1" t="s">
        <v>9</v>
      </c>
      <c r="J46" t="str">
        <f>IF(C46&gt;12000,"Reajustar","No Reajustar")</f>
        <v>No Reajustar</v>
      </c>
      <c r="M46"/>
      <c r="N46"/>
    </row>
    <row r="47" spans="1:14" x14ac:dyDescent="0.3">
      <c r="A47" s="1" t="s">
        <v>175</v>
      </c>
      <c r="B47" s="1" t="s">
        <v>236</v>
      </c>
      <c r="C47" s="13">
        <v>9284</v>
      </c>
      <c r="D47" s="5">
        <v>33475</v>
      </c>
      <c r="E47" s="3" t="str">
        <f>TEXT(D47,"mmmm")</f>
        <v>August</v>
      </c>
      <c r="F47" s="5">
        <f ca="1">YEARFRAC(TODAY(),D47)</f>
        <v>33.988888888888887</v>
      </c>
      <c r="G47" s="1" t="s">
        <v>3</v>
      </c>
      <c r="H47" s="1" t="s">
        <v>4</v>
      </c>
      <c r="I47" s="1" t="s">
        <v>9</v>
      </c>
      <c r="J47" t="str">
        <f>IF(C47&gt;12000,"Reajustar","No Reajustar")</f>
        <v>No Reajustar</v>
      </c>
      <c r="M47"/>
      <c r="N47"/>
    </row>
    <row r="48" spans="1:14" x14ac:dyDescent="0.3">
      <c r="A48" s="1" t="s">
        <v>174</v>
      </c>
      <c r="B48" s="1" t="s">
        <v>231</v>
      </c>
      <c r="C48" s="13">
        <v>10835</v>
      </c>
      <c r="D48" s="5">
        <v>33442</v>
      </c>
      <c r="E48" s="3" t="str">
        <f>TEXT(D48,"mmmm")</f>
        <v>July</v>
      </c>
      <c r="F48" s="5">
        <f ca="1">YEARFRAC(TODAY(),D48)</f>
        <v>34.077777777777776</v>
      </c>
      <c r="G48" s="1" t="s">
        <v>3</v>
      </c>
      <c r="H48" s="1" t="s">
        <v>4</v>
      </c>
      <c r="I48" s="1" t="s">
        <v>9</v>
      </c>
      <c r="J48" t="str">
        <f>IF(C48&gt;12000,"Reajustar","No Reajustar")</f>
        <v>No Reajustar</v>
      </c>
      <c r="M48"/>
      <c r="N48"/>
    </row>
    <row r="49" spans="1:14" x14ac:dyDescent="0.3">
      <c r="A49" s="1" t="s">
        <v>173</v>
      </c>
      <c r="B49" s="1" t="s">
        <v>229</v>
      </c>
      <c r="C49" s="13">
        <v>8800</v>
      </c>
      <c r="D49" s="5">
        <v>33429</v>
      </c>
      <c r="E49" s="3" t="str">
        <f>TEXT(D49,"mmmm")</f>
        <v>July</v>
      </c>
      <c r="F49" s="5">
        <f ca="1">YEARFRAC(TODAY(),D49)</f>
        <v>34.113888888888887</v>
      </c>
      <c r="G49" s="1" t="s">
        <v>3</v>
      </c>
      <c r="H49" s="1" t="s">
        <v>4</v>
      </c>
      <c r="I49" s="1" t="s">
        <v>9</v>
      </c>
      <c r="J49" t="str">
        <f>IF(C49&gt;12000,"Reajustar","No Reajustar")</f>
        <v>No Reajustar</v>
      </c>
      <c r="M49"/>
      <c r="N49"/>
    </row>
    <row r="50" spans="1:14" x14ac:dyDescent="0.3">
      <c r="A50" s="1" t="s">
        <v>172</v>
      </c>
      <c r="B50" s="1" t="s">
        <v>220</v>
      </c>
      <c r="C50" s="13">
        <v>3685</v>
      </c>
      <c r="D50" s="5">
        <v>33428</v>
      </c>
      <c r="E50" s="3" t="str">
        <f>TEXT(D50,"mmmm")</f>
        <v>July</v>
      </c>
      <c r="F50" s="5">
        <f ca="1">YEARFRAC(TODAY(),D50)</f>
        <v>34.116666666666667</v>
      </c>
      <c r="G50" s="1" t="s">
        <v>8</v>
      </c>
      <c r="H50" s="1" t="s">
        <v>12</v>
      </c>
      <c r="I50" s="1" t="s">
        <v>9</v>
      </c>
      <c r="J50" t="str">
        <f>IF(C50&gt;12000,"Reajustar","No Reajustar")</f>
        <v>No Reajustar</v>
      </c>
      <c r="M50"/>
      <c r="N50"/>
    </row>
    <row r="51" spans="1:14" x14ac:dyDescent="0.3">
      <c r="A51" s="1" t="s">
        <v>171</v>
      </c>
      <c r="B51" s="1" t="s">
        <v>220</v>
      </c>
      <c r="C51" s="13">
        <v>3740</v>
      </c>
      <c r="D51" s="5">
        <v>33425</v>
      </c>
      <c r="E51" s="3" t="str">
        <f>TEXT(D51,"mmmm")</f>
        <v>July</v>
      </c>
      <c r="F51" s="5">
        <f ca="1">YEARFRAC(TODAY(),D51)</f>
        <v>34.125</v>
      </c>
      <c r="G51" s="1" t="s">
        <v>8</v>
      </c>
      <c r="H51" s="1" t="s">
        <v>12</v>
      </c>
      <c r="I51" s="1" t="s">
        <v>9</v>
      </c>
      <c r="J51" t="str">
        <f>IF(C51&gt;12000,"Reajustar","No Reajustar")</f>
        <v>No Reajustar</v>
      </c>
      <c r="M51"/>
      <c r="N51"/>
    </row>
    <row r="52" spans="1:14" x14ac:dyDescent="0.3">
      <c r="A52" s="1" t="s">
        <v>170</v>
      </c>
      <c r="B52" s="1" t="s">
        <v>225</v>
      </c>
      <c r="C52" s="13">
        <v>4950</v>
      </c>
      <c r="D52" s="5">
        <v>33399</v>
      </c>
      <c r="E52" s="3" t="str">
        <f>TEXT(D52,"mmmm")</f>
        <v>June</v>
      </c>
      <c r="F52" s="5">
        <f ca="1">YEARFRAC(TODAY(),D52)</f>
        <v>34.197222222222223</v>
      </c>
      <c r="G52" s="1" t="s">
        <v>8</v>
      </c>
      <c r="H52" s="1" t="s">
        <v>12</v>
      </c>
      <c r="I52" s="1" t="s">
        <v>14</v>
      </c>
      <c r="J52" t="str">
        <f>IF(C52&gt;12000,"Reajustar","No Reajustar")</f>
        <v>No Reajustar</v>
      </c>
      <c r="M52"/>
      <c r="N52"/>
    </row>
    <row r="53" spans="1:14" x14ac:dyDescent="0.3">
      <c r="A53" s="1" t="s">
        <v>169</v>
      </c>
      <c r="B53" s="1" t="s">
        <v>239</v>
      </c>
      <c r="C53" s="13">
        <v>13486</v>
      </c>
      <c r="D53" s="5">
        <v>33394</v>
      </c>
      <c r="E53" s="3" t="str">
        <f>TEXT(D53,"mmmm")</f>
        <v>June</v>
      </c>
      <c r="F53" s="5">
        <f ca="1">YEARFRAC(TODAY(),D53)</f>
        <v>34.211111111111109</v>
      </c>
      <c r="G53" s="1" t="s">
        <v>8</v>
      </c>
      <c r="H53" s="1" t="s">
        <v>4</v>
      </c>
      <c r="I53" s="1" t="s">
        <v>9</v>
      </c>
      <c r="J53" t="str">
        <f>IF(C53&gt;12000,"Reajustar","No Reajustar")</f>
        <v>Reajustar</v>
      </c>
      <c r="M53"/>
      <c r="N53"/>
    </row>
    <row r="54" spans="1:14" x14ac:dyDescent="0.3">
      <c r="A54" s="1" t="s">
        <v>168</v>
      </c>
      <c r="B54" s="1" t="s">
        <v>225</v>
      </c>
      <c r="C54" s="13">
        <v>5335</v>
      </c>
      <c r="D54" s="5">
        <v>33382</v>
      </c>
      <c r="E54" s="3" t="str">
        <f>TEXT(D54,"mmmm")</f>
        <v>May</v>
      </c>
      <c r="F54" s="5">
        <f ca="1">YEARFRAC(TODAY(),D54)</f>
        <v>34.241666666666667</v>
      </c>
      <c r="G54" s="1" t="s">
        <v>3</v>
      </c>
      <c r="H54" s="1" t="s">
        <v>12</v>
      </c>
      <c r="I54" s="1" t="s">
        <v>9</v>
      </c>
      <c r="J54" t="str">
        <f>IF(C54&gt;12000,"Reajustar","No Reajustar")</f>
        <v>No Reajustar</v>
      </c>
      <c r="M54"/>
      <c r="N54"/>
    </row>
    <row r="55" spans="1:14" x14ac:dyDescent="0.3">
      <c r="A55" s="1" t="s">
        <v>167</v>
      </c>
      <c r="B55" s="1" t="s">
        <v>234</v>
      </c>
      <c r="C55" s="13">
        <v>13860</v>
      </c>
      <c r="D55" s="5">
        <v>33367</v>
      </c>
      <c r="E55" s="3" t="str">
        <f>TEXT(D55,"mmmm")</f>
        <v>May</v>
      </c>
      <c r="F55" s="5">
        <f ca="1">YEARFRAC(TODAY(),D55)</f>
        <v>34.283333333333331</v>
      </c>
      <c r="G55" s="1" t="s">
        <v>3</v>
      </c>
      <c r="H55" s="1" t="s">
        <v>4</v>
      </c>
      <c r="I55" s="1" t="s">
        <v>10</v>
      </c>
      <c r="J55" t="str">
        <f>IF(C55&gt;12000,"Reajustar","No Reajustar")</f>
        <v>Reajustar</v>
      </c>
      <c r="M55"/>
      <c r="N55"/>
    </row>
    <row r="56" spans="1:14" x14ac:dyDescent="0.3">
      <c r="A56" s="1" t="s">
        <v>166</v>
      </c>
      <c r="B56" s="1" t="s">
        <v>225</v>
      </c>
      <c r="C56" s="13">
        <v>6380</v>
      </c>
      <c r="D56" s="5">
        <v>33353</v>
      </c>
      <c r="E56" s="3" t="str">
        <f>TEXT(D56,"mmmm")</f>
        <v>April</v>
      </c>
      <c r="F56" s="5">
        <f ca="1">YEARFRAC(TODAY(),D56)</f>
        <v>34.322222222222223</v>
      </c>
      <c r="G56" s="1" t="s">
        <v>3</v>
      </c>
      <c r="H56" s="1" t="s">
        <v>12</v>
      </c>
      <c r="I56" s="1" t="s">
        <v>9</v>
      </c>
      <c r="J56" t="str">
        <f>IF(C56&gt;12000,"Reajustar","No Reajustar")</f>
        <v>No Reajustar</v>
      </c>
      <c r="M56"/>
      <c r="N56"/>
    </row>
    <row r="57" spans="1:14" x14ac:dyDescent="0.3">
      <c r="A57" s="1" t="s">
        <v>165</v>
      </c>
      <c r="B57" s="1" t="s">
        <v>221</v>
      </c>
      <c r="C57" s="13">
        <v>12364</v>
      </c>
      <c r="D57" s="5">
        <v>33350</v>
      </c>
      <c r="E57" s="3" t="str">
        <f>TEXT(D57,"mmmm")</f>
        <v>April</v>
      </c>
      <c r="F57" s="5">
        <f ca="1">YEARFRAC(TODAY(),D57)</f>
        <v>34.330555555555556</v>
      </c>
      <c r="G57" s="1" t="s">
        <v>3</v>
      </c>
      <c r="H57" s="1" t="s">
        <v>4</v>
      </c>
      <c r="I57" s="1" t="s">
        <v>9</v>
      </c>
      <c r="J57" t="str">
        <f>IF(C57&gt;12000,"Reajustar","No Reajustar")</f>
        <v>Reajustar</v>
      </c>
      <c r="M57"/>
      <c r="N57"/>
    </row>
    <row r="58" spans="1:14" x14ac:dyDescent="0.3">
      <c r="A58" s="1" t="s">
        <v>164</v>
      </c>
      <c r="B58" s="1" t="s">
        <v>243</v>
      </c>
      <c r="C58" s="13">
        <v>6380</v>
      </c>
      <c r="D58" s="5">
        <v>33246</v>
      </c>
      <c r="E58" s="3" t="str">
        <f>TEXT(D58,"mmmm")</f>
        <v>January</v>
      </c>
      <c r="F58" s="5">
        <f ca="1">YEARFRAC(TODAY(),D58)</f>
        <v>34.619444444444447</v>
      </c>
      <c r="G58" s="1" t="s">
        <v>8</v>
      </c>
      <c r="H58" s="1" t="s">
        <v>11</v>
      </c>
      <c r="I58" s="1" t="s">
        <v>9</v>
      </c>
      <c r="J58" t="str">
        <f>IF(C58&gt;12000,"Reajustar","No Reajustar")</f>
        <v>No Reajustar</v>
      </c>
      <c r="M58"/>
      <c r="N58"/>
    </row>
    <row r="59" spans="1:14" x14ac:dyDescent="0.3">
      <c r="A59" s="1" t="s">
        <v>163</v>
      </c>
      <c r="B59" s="1" t="s">
        <v>225</v>
      </c>
      <c r="C59" s="13">
        <v>5806</v>
      </c>
      <c r="D59" s="5">
        <v>33199</v>
      </c>
      <c r="E59" s="3" t="str">
        <f>TEXT(D59,"mmmm")</f>
        <v>November</v>
      </c>
      <c r="F59" s="5">
        <f ca="1">YEARFRAC(TODAY(),D59)</f>
        <v>34.74722222222222</v>
      </c>
      <c r="G59" s="1" t="s">
        <v>8</v>
      </c>
      <c r="H59" s="1" t="s">
        <v>12</v>
      </c>
      <c r="I59" s="1" t="s">
        <v>9</v>
      </c>
      <c r="J59" t="str">
        <f>IF(C59&gt;12000,"Reajustar","No Reajustar")</f>
        <v>No Reajustar</v>
      </c>
      <c r="M59"/>
      <c r="N59"/>
    </row>
    <row r="60" spans="1:14" x14ac:dyDescent="0.3">
      <c r="A60" s="1" t="s">
        <v>162</v>
      </c>
      <c r="B60" s="1" t="s">
        <v>225</v>
      </c>
      <c r="C60" s="13">
        <v>5335</v>
      </c>
      <c r="D60" s="5">
        <v>33181</v>
      </c>
      <c r="E60" s="3" t="str">
        <f>TEXT(D60,"mmmm")</f>
        <v>November</v>
      </c>
      <c r="F60" s="5">
        <f ca="1">YEARFRAC(TODAY(),D60)</f>
        <v>34.797222222222224</v>
      </c>
      <c r="G60" s="1" t="s">
        <v>8</v>
      </c>
      <c r="H60" s="1" t="s">
        <v>12</v>
      </c>
      <c r="I60" s="1" t="s">
        <v>9</v>
      </c>
      <c r="J60" t="str">
        <f>IF(C60&gt;12000,"Reajustar","No Reajustar")</f>
        <v>No Reajustar</v>
      </c>
      <c r="M60"/>
      <c r="N60"/>
    </row>
    <row r="61" spans="1:14" x14ac:dyDescent="0.3">
      <c r="A61" s="1" t="s">
        <v>161</v>
      </c>
      <c r="B61" s="1" t="s">
        <v>220</v>
      </c>
      <c r="C61" s="13">
        <v>4180</v>
      </c>
      <c r="D61" s="5">
        <v>33130</v>
      </c>
      <c r="E61" s="3" t="str">
        <f>TEXT(D61,"mmmm")</f>
        <v>September</v>
      </c>
      <c r="F61" s="5">
        <f ca="1">YEARFRAC(TODAY(),D61)</f>
        <v>34.93611111111111</v>
      </c>
      <c r="G61" s="1" t="s">
        <v>8</v>
      </c>
      <c r="H61" s="1" t="s">
        <v>12</v>
      </c>
      <c r="I61" s="1" t="s">
        <v>9</v>
      </c>
      <c r="J61" t="str">
        <f>IF(C61&gt;12000,"Reajustar","No Reajustar")</f>
        <v>No Reajustar</v>
      </c>
      <c r="M61"/>
      <c r="N61"/>
    </row>
    <row r="62" spans="1:14" x14ac:dyDescent="0.3">
      <c r="A62" s="1" t="s">
        <v>160</v>
      </c>
      <c r="B62" s="1" t="s">
        <v>220</v>
      </c>
      <c r="C62" s="13">
        <v>3300</v>
      </c>
      <c r="D62" s="5">
        <v>33108</v>
      </c>
      <c r="E62" s="3" t="str">
        <f>TEXT(D62,"mmmm")</f>
        <v>August</v>
      </c>
      <c r="F62" s="5">
        <f ca="1">YEARFRAC(TODAY(),D62)</f>
        <v>34.994444444444447</v>
      </c>
      <c r="G62" s="1" t="s">
        <v>3</v>
      </c>
      <c r="H62" s="1" t="s">
        <v>12</v>
      </c>
      <c r="I62" s="1" t="s">
        <v>9</v>
      </c>
      <c r="J62" t="str">
        <f>IF(C62&gt;12000,"Reajustar","No Reajustar")</f>
        <v>No Reajustar</v>
      </c>
      <c r="M62"/>
      <c r="N62"/>
    </row>
    <row r="63" spans="1:14" x14ac:dyDescent="0.3">
      <c r="A63" s="1" t="s">
        <v>159</v>
      </c>
      <c r="B63" s="1" t="s">
        <v>220</v>
      </c>
      <c r="C63" s="13">
        <v>4400</v>
      </c>
      <c r="D63" s="5">
        <v>33027</v>
      </c>
      <c r="E63" s="3" t="str">
        <f>TEXT(D63,"mmmm")</f>
        <v>June</v>
      </c>
      <c r="F63" s="5">
        <f ca="1">YEARFRAC(TODAY(),D63)</f>
        <v>35.216666666666669</v>
      </c>
      <c r="G63" s="1" t="s">
        <v>8</v>
      </c>
      <c r="H63" s="1" t="s">
        <v>12</v>
      </c>
      <c r="I63" s="1" t="s">
        <v>9</v>
      </c>
      <c r="J63" t="str">
        <f>IF(C63&gt;12000,"Reajustar","No Reajustar")</f>
        <v>No Reajustar</v>
      </c>
      <c r="M63"/>
      <c r="N63"/>
    </row>
    <row r="64" spans="1:14" x14ac:dyDescent="0.3">
      <c r="A64" s="1" t="s">
        <v>158</v>
      </c>
      <c r="B64" s="1" t="s">
        <v>229</v>
      </c>
      <c r="C64" s="13">
        <v>6378</v>
      </c>
      <c r="D64" s="5">
        <v>33001</v>
      </c>
      <c r="E64" s="3" t="str">
        <f>TEXT(D64,"mmmm")</f>
        <v>May</v>
      </c>
      <c r="F64" s="5">
        <f ca="1">YEARFRAC(TODAY(),D64)</f>
        <v>35.286111111111111</v>
      </c>
      <c r="G64" s="1" t="s">
        <v>8</v>
      </c>
      <c r="H64" s="1" t="s">
        <v>4</v>
      </c>
      <c r="I64" s="1" t="s">
        <v>9</v>
      </c>
      <c r="J64" t="str">
        <f>IF(C64&gt;12000,"Reajustar","No Reajustar")</f>
        <v>No Reajustar</v>
      </c>
      <c r="M64"/>
      <c r="N64"/>
    </row>
    <row r="65" spans="1:14" x14ac:dyDescent="0.3">
      <c r="A65" s="1" t="s">
        <v>157</v>
      </c>
      <c r="B65" s="1" t="s">
        <v>225</v>
      </c>
      <c r="C65" s="13">
        <v>4840</v>
      </c>
      <c r="D65" s="5">
        <v>32982</v>
      </c>
      <c r="E65" s="3" t="str">
        <f>TEXT(D65,"mmmm")</f>
        <v>April</v>
      </c>
      <c r="F65" s="5">
        <f ca="1">YEARFRAC(TODAY(),D65)</f>
        <v>35.338888888888889</v>
      </c>
      <c r="G65" s="1" t="s">
        <v>8</v>
      </c>
      <c r="H65" s="1" t="s">
        <v>12</v>
      </c>
      <c r="I65" s="1" t="s">
        <v>9</v>
      </c>
      <c r="J65" t="str">
        <f>IF(C65&gt;12000,"Reajustar","No Reajustar")</f>
        <v>No Reajustar</v>
      </c>
      <c r="M65"/>
      <c r="N65"/>
    </row>
    <row r="66" spans="1:14" x14ac:dyDescent="0.3">
      <c r="A66" s="1" t="s">
        <v>156</v>
      </c>
      <c r="B66" s="1" t="s">
        <v>220</v>
      </c>
      <c r="C66" s="13">
        <v>4840</v>
      </c>
      <c r="D66" s="5">
        <v>32945</v>
      </c>
      <c r="E66" s="3" t="str">
        <f>TEXT(D66,"mmmm")</f>
        <v>March</v>
      </c>
      <c r="F66" s="5">
        <f ca="1">YEARFRAC(TODAY(),D66)</f>
        <v>35.43888888888889</v>
      </c>
      <c r="G66" s="1" t="s">
        <v>3</v>
      </c>
      <c r="H66" s="1" t="s">
        <v>12</v>
      </c>
      <c r="I66" s="1" t="s">
        <v>9</v>
      </c>
      <c r="J66" t="str">
        <f>IF(C66&gt;12000,"Reajustar","No Reajustar")</f>
        <v>No Reajustar</v>
      </c>
      <c r="M66"/>
      <c r="N66"/>
    </row>
    <row r="67" spans="1:14" x14ac:dyDescent="0.3">
      <c r="A67" s="1" t="s">
        <v>155</v>
      </c>
      <c r="B67" s="1" t="s">
        <v>220</v>
      </c>
      <c r="C67" s="13">
        <v>3740</v>
      </c>
      <c r="D67" s="5">
        <v>32900</v>
      </c>
      <c r="E67" s="3" t="str">
        <f>TEXT(D67,"mmmm")</f>
        <v>January</v>
      </c>
      <c r="F67" s="5">
        <f ca="1">YEARFRAC(TODAY(),D67)</f>
        <v>35.56666666666667</v>
      </c>
      <c r="G67" s="1" t="s">
        <v>8</v>
      </c>
      <c r="H67" s="1" t="s">
        <v>12</v>
      </c>
      <c r="I67" s="1" t="s">
        <v>14</v>
      </c>
      <c r="J67" t="str">
        <f>IF(C67&gt;12000,"Reajustar","No Reajustar")</f>
        <v>No Reajustar</v>
      </c>
      <c r="M67"/>
      <c r="N67"/>
    </row>
    <row r="68" spans="1:14" x14ac:dyDescent="0.3">
      <c r="A68" s="1" t="s">
        <v>154</v>
      </c>
      <c r="B68" s="1" t="s">
        <v>225</v>
      </c>
      <c r="C68" s="13">
        <v>5500</v>
      </c>
      <c r="D68" s="5">
        <v>32814</v>
      </c>
      <c r="E68" s="3" t="str">
        <f>TEXT(D68,"mmmm")</f>
        <v>November</v>
      </c>
      <c r="F68" s="5">
        <f ca="1">YEARFRAC(TODAY(),D68)</f>
        <v>35.802777777777777</v>
      </c>
      <c r="G68" s="1" t="s">
        <v>8</v>
      </c>
      <c r="H68" s="1" t="s">
        <v>12</v>
      </c>
      <c r="I68" s="1" t="s">
        <v>9</v>
      </c>
      <c r="J68" t="str">
        <f>IF(C68&gt;12000,"Reajustar","No Reajustar")</f>
        <v>No Reajustar</v>
      </c>
      <c r="M68"/>
      <c r="N68"/>
    </row>
    <row r="69" spans="1:14" x14ac:dyDescent="0.3">
      <c r="A69" s="1" t="s">
        <v>153</v>
      </c>
      <c r="B69" s="1" t="s">
        <v>245</v>
      </c>
      <c r="C69" s="13">
        <v>12100</v>
      </c>
      <c r="D69" s="5">
        <v>32786</v>
      </c>
      <c r="E69" s="3" t="str">
        <f>TEXT(D69,"mmmm")</f>
        <v>October</v>
      </c>
      <c r="F69" s="5">
        <f ca="1">YEARFRAC(TODAY(),D69)</f>
        <v>35.87777777777778</v>
      </c>
      <c r="G69" s="1" t="s">
        <v>3</v>
      </c>
      <c r="H69" s="1" t="s">
        <v>11</v>
      </c>
      <c r="I69" s="1" t="s">
        <v>9</v>
      </c>
      <c r="J69" t="str">
        <f>IF(C69&gt;12000,"Reajustar","No Reajustar")</f>
        <v>Reajustar</v>
      </c>
      <c r="M69"/>
      <c r="N69"/>
    </row>
    <row r="70" spans="1:14" x14ac:dyDescent="0.3">
      <c r="A70" s="1" t="s">
        <v>53</v>
      </c>
      <c r="B70" s="1" t="s">
        <v>236</v>
      </c>
      <c r="C70" s="13">
        <v>9405</v>
      </c>
      <c r="D70" s="5">
        <v>32766</v>
      </c>
      <c r="E70" s="3" t="str">
        <f>TEXT(D70,"mmmm")</f>
        <v>September</v>
      </c>
      <c r="F70" s="5">
        <f ca="1">YEARFRAC(TODAY(),D70)</f>
        <v>35.93333333333333</v>
      </c>
      <c r="G70" s="1" t="s">
        <v>3</v>
      </c>
      <c r="H70" s="1" t="s">
        <v>4</v>
      </c>
      <c r="I70" s="1" t="s">
        <v>14</v>
      </c>
      <c r="J70" t="str">
        <f>IF(C70&gt;12000,"Reajustar","No Reajustar")</f>
        <v>No Reajustar</v>
      </c>
      <c r="M70"/>
      <c r="N70"/>
    </row>
    <row r="71" spans="1:14" x14ac:dyDescent="0.3">
      <c r="A71" s="1" t="s">
        <v>152</v>
      </c>
      <c r="B71" s="1" t="s">
        <v>244</v>
      </c>
      <c r="C71" s="13">
        <v>12320</v>
      </c>
      <c r="D71" s="5">
        <v>32735</v>
      </c>
      <c r="E71" s="3" t="str">
        <f>TEXT(D71,"mmmm")</f>
        <v>August</v>
      </c>
      <c r="F71" s="5">
        <f ca="1">YEARFRAC(TODAY(),D71)</f>
        <v>36.016666666666666</v>
      </c>
      <c r="G71" s="1" t="s">
        <v>8</v>
      </c>
      <c r="H71" s="1" t="s">
        <v>5</v>
      </c>
      <c r="I71" s="1" t="s">
        <v>10</v>
      </c>
      <c r="J71" t="str">
        <f>IF(C71&gt;12000,"Reajustar","No Reajustar")</f>
        <v>Reajustar</v>
      </c>
      <c r="M71"/>
      <c r="N71"/>
    </row>
    <row r="72" spans="1:14" x14ac:dyDescent="0.3">
      <c r="A72" s="1" t="s">
        <v>151</v>
      </c>
      <c r="B72" s="1" t="s">
        <v>220</v>
      </c>
      <c r="C72" s="13">
        <v>4180</v>
      </c>
      <c r="D72" s="5">
        <v>32695</v>
      </c>
      <c r="E72" s="3" t="str">
        <f>TEXT(D72,"mmmm")</f>
        <v>July</v>
      </c>
      <c r="F72" s="5">
        <f ca="1">YEARFRAC(TODAY(),D72)</f>
        <v>36.125</v>
      </c>
      <c r="G72" s="1" t="s">
        <v>8</v>
      </c>
      <c r="H72" s="1" t="s">
        <v>12</v>
      </c>
      <c r="I72" s="1" t="s">
        <v>9</v>
      </c>
      <c r="J72" t="str">
        <f>IF(C72&gt;12000,"Reajustar","No Reajustar")</f>
        <v>No Reajustar</v>
      </c>
      <c r="M72"/>
      <c r="N72"/>
    </row>
    <row r="73" spans="1:14" x14ac:dyDescent="0.3">
      <c r="A73" s="1" t="s">
        <v>150</v>
      </c>
      <c r="B73" s="1" t="s">
        <v>220</v>
      </c>
      <c r="C73" s="13">
        <v>3300</v>
      </c>
      <c r="D73" s="5">
        <v>32695</v>
      </c>
      <c r="E73" s="3" t="str">
        <f>TEXT(D73,"mmmm")</f>
        <v>July</v>
      </c>
      <c r="F73" s="5">
        <f ca="1">YEARFRAC(TODAY(),D73)</f>
        <v>36.125</v>
      </c>
      <c r="G73" s="1" t="s">
        <v>8</v>
      </c>
      <c r="H73" s="1" t="s">
        <v>12</v>
      </c>
      <c r="I73" s="1" t="s">
        <v>9</v>
      </c>
      <c r="J73" t="str">
        <f>IF(C73&gt;12000,"Reajustar","No Reajustar")</f>
        <v>No Reajustar</v>
      </c>
      <c r="M73"/>
      <c r="N73"/>
    </row>
    <row r="74" spans="1:14" x14ac:dyDescent="0.3">
      <c r="A74" s="1" t="s">
        <v>149</v>
      </c>
      <c r="B74" s="1" t="s">
        <v>243</v>
      </c>
      <c r="C74" s="13">
        <v>5060</v>
      </c>
      <c r="D74" s="5">
        <v>32623</v>
      </c>
      <c r="E74" s="3" t="str">
        <f>TEXT(D74,"mmmm")</f>
        <v>April</v>
      </c>
      <c r="F74" s="5">
        <f ca="1">YEARFRAC(TODAY(),D74)</f>
        <v>36.322222222222223</v>
      </c>
      <c r="G74" s="1" t="s">
        <v>8</v>
      </c>
      <c r="H74" s="1" t="s">
        <v>11</v>
      </c>
      <c r="I74" s="1" t="s">
        <v>9</v>
      </c>
      <c r="J74" t="str">
        <f>IF(C74&gt;12000,"Reajustar","No Reajustar")</f>
        <v>No Reajustar</v>
      </c>
      <c r="M74"/>
      <c r="N74"/>
    </row>
    <row r="75" spans="1:14" x14ac:dyDescent="0.3">
      <c r="A75" s="1" t="s">
        <v>148</v>
      </c>
      <c r="B75" s="1" t="s">
        <v>220</v>
      </c>
      <c r="C75" s="13">
        <v>4180</v>
      </c>
      <c r="D75" s="5">
        <v>32598</v>
      </c>
      <c r="E75" s="3" t="str">
        <f>TEXT(D75,"mmmm")</f>
        <v>March</v>
      </c>
      <c r="F75" s="5">
        <f ca="1">YEARFRAC(TODAY(),D75)</f>
        <v>36.391666666666666</v>
      </c>
      <c r="G75" s="1" t="s">
        <v>8</v>
      </c>
      <c r="H75" s="1" t="s">
        <v>12</v>
      </c>
      <c r="I75" s="1" t="s">
        <v>9</v>
      </c>
      <c r="J75" t="str">
        <f>IF(C75&gt;12000,"Reajustar","No Reajustar")</f>
        <v>No Reajustar</v>
      </c>
      <c r="M75"/>
      <c r="N75"/>
    </row>
    <row r="76" spans="1:14" x14ac:dyDescent="0.3">
      <c r="A76" s="1" t="s">
        <v>147</v>
      </c>
      <c r="B76" s="1" t="s">
        <v>229</v>
      </c>
      <c r="C76" s="13">
        <v>7480</v>
      </c>
      <c r="D76" s="5">
        <v>32558</v>
      </c>
      <c r="E76" s="3" t="str">
        <f>TEXT(D76,"mmmm")</f>
        <v>February</v>
      </c>
      <c r="F76" s="5">
        <f ca="1">YEARFRAC(TODAY(),D76)</f>
        <v>36.505555555555553</v>
      </c>
      <c r="G76" s="1" t="s">
        <v>8</v>
      </c>
      <c r="H76" s="1" t="s">
        <v>4</v>
      </c>
      <c r="I76" s="1" t="s">
        <v>9</v>
      </c>
      <c r="J76" t="str">
        <f>IF(C76&gt;12000,"Reajustar","No Reajustar")</f>
        <v>No Reajustar</v>
      </c>
      <c r="M76"/>
      <c r="N76"/>
    </row>
    <row r="77" spans="1:14" x14ac:dyDescent="0.3">
      <c r="A77" s="1" t="s">
        <v>146</v>
      </c>
      <c r="B77" s="1" t="s">
        <v>224</v>
      </c>
      <c r="C77" s="13">
        <v>8000</v>
      </c>
      <c r="D77" s="5">
        <v>32513</v>
      </c>
      <c r="E77" s="3" t="str">
        <f>TEXT(D77,"mmmm")</f>
        <v>January</v>
      </c>
      <c r="F77" s="5">
        <f ca="1">YEARFRAC(TODAY(),D77)</f>
        <v>36.62777777777778</v>
      </c>
      <c r="G77" s="1" t="s">
        <v>3</v>
      </c>
      <c r="H77" s="1" t="s">
        <v>5</v>
      </c>
      <c r="I77" s="1" t="s">
        <v>9</v>
      </c>
      <c r="J77" t="str">
        <f>IF(C77&gt;12000,"Reajustar","No Reajustar")</f>
        <v>No Reajustar</v>
      </c>
      <c r="M77"/>
      <c r="N77"/>
    </row>
    <row r="78" spans="1:14" x14ac:dyDescent="0.3">
      <c r="A78" s="1" t="s">
        <v>145</v>
      </c>
      <c r="B78" s="1" t="s">
        <v>220</v>
      </c>
      <c r="C78" s="13">
        <v>4400</v>
      </c>
      <c r="D78" s="5">
        <v>32421</v>
      </c>
      <c r="E78" s="3" t="str">
        <f>TEXT(D78,"mmmm")</f>
        <v>October</v>
      </c>
      <c r="F78" s="5">
        <f ca="1">YEARFRAC(TODAY(),D78)</f>
        <v>36.87777777777778</v>
      </c>
      <c r="G78" s="1" t="s">
        <v>8</v>
      </c>
      <c r="H78" s="1" t="s">
        <v>12</v>
      </c>
      <c r="I78" s="1" t="s">
        <v>14</v>
      </c>
      <c r="J78" t="str">
        <f>IF(C78&gt;12000,"Reajustar","No Reajustar")</f>
        <v>No Reajustar</v>
      </c>
      <c r="M78"/>
      <c r="N78"/>
    </row>
    <row r="79" spans="1:14" x14ac:dyDescent="0.3">
      <c r="A79" s="1" t="s">
        <v>144</v>
      </c>
      <c r="B79" s="1" t="s">
        <v>230</v>
      </c>
      <c r="C79" s="13">
        <v>12100</v>
      </c>
      <c r="D79" s="5">
        <v>32392</v>
      </c>
      <c r="E79" s="3" t="str">
        <f>TEXT(D79,"mmmm")</f>
        <v>September</v>
      </c>
      <c r="F79" s="5">
        <f ca="1">YEARFRAC(TODAY(),D79)</f>
        <v>36.958333333333336</v>
      </c>
      <c r="G79" s="1" t="s">
        <v>8</v>
      </c>
      <c r="H79" s="1" t="s">
        <v>12</v>
      </c>
      <c r="I79" s="1" t="s">
        <v>14</v>
      </c>
      <c r="J79" t="str">
        <f>IF(C79&gt;12000,"Reajustar","No Reajustar")</f>
        <v>Reajustar</v>
      </c>
      <c r="M79"/>
      <c r="N79"/>
    </row>
    <row r="80" spans="1:14" x14ac:dyDescent="0.3">
      <c r="A80" s="1" t="s">
        <v>143</v>
      </c>
      <c r="B80" s="1" t="s">
        <v>221</v>
      </c>
      <c r="C80" s="13">
        <v>11836</v>
      </c>
      <c r="D80" s="5">
        <v>32386</v>
      </c>
      <c r="E80" s="3" t="str">
        <f>TEXT(D80,"mmmm")</f>
        <v>August</v>
      </c>
      <c r="F80" s="5">
        <f ca="1">YEARFRAC(TODAY(),D80)</f>
        <v>36.975000000000001</v>
      </c>
      <c r="G80" s="1" t="s">
        <v>3</v>
      </c>
      <c r="H80" s="1" t="s">
        <v>4</v>
      </c>
      <c r="I80" s="1" t="s">
        <v>9</v>
      </c>
      <c r="J80" t="str">
        <f>IF(C80&gt;12000,"Reajustar","No Reajustar")</f>
        <v>No Reajustar</v>
      </c>
      <c r="M80"/>
      <c r="N80"/>
    </row>
    <row r="81" spans="1:14" x14ac:dyDescent="0.3">
      <c r="A81" s="1" t="s">
        <v>142</v>
      </c>
      <c r="B81" s="1" t="s">
        <v>220</v>
      </c>
      <c r="C81" s="13">
        <v>4840</v>
      </c>
      <c r="D81" s="5">
        <v>32377</v>
      </c>
      <c r="E81" s="3" t="str">
        <f>TEXT(D81,"mmmm")</f>
        <v>August</v>
      </c>
      <c r="F81" s="5">
        <f ca="1">YEARFRAC(TODAY(),D81)</f>
        <v>36.99722222222222</v>
      </c>
      <c r="G81" s="1" t="s">
        <v>8</v>
      </c>
      <c r="H81" s="1" t="s">
        <v>12</v>
      </c>
      <c r="I81" s="1" t="s">
        <v>9</v>
      </c>
      <c r="J81" t="str">
        <f>IF(C81&gt;12000,"Reajustar","No Reajustar")</f>
        <v>No Reajustar</v>
      </c>
      <c r="M81"/>
      <c r="N81"/>
    </row>
    <row r="82" spans="1:14" x14ac:dyDescent="0.3">
      <c r="A82" s="1" t="s">
        <v>141</v>
      </c>
      <c r="B82" s="1" t="s">
        <v>225</v>
      </c>
      <c r="C82" s="13">
        <v>5940</v>
      </c>
      <c r="D82" s="5">
        <v>32365</v>
      </c>
      <c r="E82" s="3" t="str">
        <f>TEXT(D82,"mmmm")</f>
        <v>August</v>
      </c>
      <c r="F82" s="5">
        <f ca="1">YEARFRAC(TODAY(),D82)</f>
        <v>37.030555555555559</v>
      </c>
      <c r="G82" s="1" t="s">
        <v>8</v>
      </c>
      <c r="H82" s="1" t="s">
        <v>12</v>
      </c>
      <c r="I82" s="1" t="s">
        <v>9</v>
      </c>
      <c r="J82" t="str">
        <f>IF(C82&gt;12000,"Reajustar","No Reajustar")</f>
        <v>No Reajustar</v>
      </c>
      <c r="M82"/>
      <c r="N82"/>
    </row>
    <row r="83" spans="1:14" x14ac:dyDescent="0.3">
      <c r="A83" s="1" t="s">
        <v>140</v>
      </c>
      <c r="B83" s="1" t="s">
        <v>225</v>
      </c>
      <c r="C83" s="13">
        <v>4840</v>
      </c>
      <c r="D83" s="5">
        <v>32350</v>
      </c>
      <c r="E83" s="3" t="str">
        <f>TEXT(D83,"mmmm")</f>
        <v>July</v>
      </c>
      <c r="F83" s="5">
        <f ca="1">YEARFRAC(TODAY(),D83)</f>
        <v>37.069444444444443</v>
      </c>
      <c r="G83" s="1" t="s">
        <v>8</v>
      </c>
      <c r="H83" s="1" t="s">
        <v>12</v>
      </c>
      <c r="I83" s="1" t="s">
        <v>9</v>
      </c>
      <c r="J83" t="str">
        <f>IF(C83&gt;12000,"Reajustar","No Reajustar")</f>
        <v>No Reajustar</v>
      </c>
      <c r="M83"/>
      <c r="N83"/>
    </row>
    <row r="84" spans="1:14" x14ac:dyDescent="0.3">
      <c r="A84" s="1" t="s">
        <v>139</v>
      </c>
      <c r="B84" s="1" t="s">
        <v>220</v>
      </c>
      <c r="C84" s="13">
        <v>3687</v>
      </c>
      <c r="D84" s="5">
        <v>32342</v>
      </c>
      <c r="E84" s="3" t="str">
        <f>TEXT(D84,"mmmm")</f>
        <v>July</v>
      </c>
      <c r="F84" s="5">
        <f ca="1">YEARFRAC(TODAY(),D84)</f>
        <v>37.091666666666669</v>
      </c>
      <c r="G84" s="1" t="s">
        <v>8</v>
      </c>
      <c r="H84" s="1" t="s">
        <v>12</v>
      </c>
      <c r="I84" s="1" t="s">
        <v>9</v>
      </c>
      <c r="J84" t="str">
        <f>IF(C84&gt;12000,"Reajustar","No Reajustar")</f>
        <v>No Reajustar</v>
      </c>
      <c r="M84"/>
      <c r="N84"/>
    </row>
    <row r="85" spans="1:14" x14ac:dyDescent="0.3">
      <c r="A85" s="1" t="s">
        <v>138</v>
      </c>
      <c r="B85" s="1" t="s">
        <v>231</v>
      </c>
      <c r="C85" s="13">
        <v>10560</v>
      </c>
      <c r="D85" s="5">
        <v>32297</v>
      </c>
      <c r="E85" s="3" t="str">
        <f>TEXT(D85,"mmmm")</f>
        <v>June</v>
      </c>
      <c r="F85" s="5">
        <f ca="1">YEARFRAC(TODAY(),D85)</f>
        <v>37.216666666666669</v>
      </c>
      <c r="G85" s="1" t="s">
        <v>8</v>
      </c>
      <c r="H85" s="1" t="s">
        <v>4</v>
      </c>
      <c r="I85" s="1" t="s">
        <v>14</v>
      </c>
      <c r="J85" t="str">
        <f>IF(C85&gt;12000,"Reajustar","No Reajustar")</f>
        <v>No Reajustar</v>
      </c>
      <c r="M85"/>
      <c r="N85"/>
    </row>
    <row r="86" spans="1:14" x14ac:dyDescent="0.3">
      <c r="A86" s="1" t="s">
        <v>137</v>
      </c>
      <c r="B86" s="1" t="s">
        <v>220</v>
      </c>
      <c r="C86" s="13">
        <v>4840</v>
      </c>
      <c r="D86" s="5">
        <v>32277</v>
      </c>
      <c r="E86" s="3" t="str">
        <f>TEXT(D86,"mmmm")</f>
        <v>May</v>
      </c>
      <c r="F86" s="5">
        <f ca="1">YEARFRAC(TODAY(),D86)</f>
        <v>37.269444444444446</v>
      </c>
      <c r="G86" s="1" t="s">
        <v>8</v>
      </c>
      <c r="H86" s="1" t="s">
        <v>12</v>
      </c>
      <c r="I86" s="1" t="s">
        <v>10</v>
      </c>
      <c r="J86" t="str">
        <f>IF(C86&gt;12000,"Reajustar","No Reajustar")</f>
        <v>No Reajustar</v>
      </c>
      <c r="M86"/>
      <c r="N86"/>
    </row>
    <row r="87" spans="1:14" x14ac:dyDescent="0.3">
      <c r="A87" s="1" t="s">
        <v>136</v>
      </c>
      <c r="B87" s="1" t="s">
        <v>240</v>
      </c>
      <c r="C87" s="13">
        <v>8000</v>
      </c>
      <c r="D87" s="5">
        <v>32240</v>
      </c>
      <c r="E87" s="3" t="str">
        <f>TEXT(D87,"mmmm")</f>
        <v>April</v>
      </c>
      <c r="F87" s="5">
        <f ca="1">YEARFRAC(TODAY(),D87)</f>
        <v>37.37222222222222</v>
      </c>
      <c r="G87" s="1" t="s">
        <v>8</v>
      </c>
      <c r="H87" s="1" t="s">
        <v>4</v>
      </c>
      <c r="I87" s="1" t="s">
        <v>9</v>
      </c>
      <c r="J87" t="str">
        <f>IF(C87&gt;12000,"Reajustar","No Reajustar")</f>
        <v>No Reajustar</v>
      </c>
      <c r="M87"/>
      <c r="N87"/>
    </row>
    <row r="88" spans="1:14" x14ac:dyDescent="0.3">
      <c r="A88" s="1" t="s">
        <v>135</v>
      </c>
      <c r="B88" s="1" t="s">
        <v>242</v>
      </c>
      <c r="C88" s="13">
        <v>13200</v>
      </c>
      <c r="D88" s="5">
        <v>32219</v>
      </c>
      <c r="E88" s="3" t="str">
        <f>TEXT(D88,"mmmm")</f>
        <v>March</v>
      </c>
      <c r="F88" s="5">
        <f ca="1">YEARFRAC(TODAY(),D88)</f>
        <v>37.427777777777777</v>
      </c>
      <c r="G88" s="1" t="s">
        <v>8</v>
      </c>
      <c r="H88" s="1" t="s">
        <v>12</v>
      </c>
      <c r="I88" s="1" t="s">
        <v>14</v>
      </c>
      <c r="J88" t="str">
        <f>IF(C88&gt;12000,"Reajustar","No Reajustar")</f>
        <v>Reajustar</v>
      </c>
      <c r="M88"/>
      <c r="N88"/>
    </row>
    <row r="89" spans="1:14" x14ac:dyDescent="0.3">
      <c r="A89" s="1" t="s">
        <v>134</v>
      </c>
      <c r="B89" s="1" t="s">
        <v>220</v>
      </c>
      <c r="C89" s="13">
        <v>4840</v>
      </c>
      <c r="D89" s="5">
        <v>32190</v>
      </c>
      <c r="E89" s="3" t="str">
        <f>TEXT(D89,"mmmm")</f>
        <v>February</v>
      </c>
      <c r="F89" s="5">
        <f ca="1">YEARFRAC(TODAY(),D89)</f>
        <v>37.511111111111113</v>
      </c>
      <c r="G89" s="1" t="s">
        <v>8</v>
      </c>
      <c r="H89" s="1" t="s">
        <v>12</v>
      </c>
      <c r="I89" s="1" t="s">
        <v>9</v>
      </c>
      <c r="J89" t="str">
        <f>IF(C89&gt;12000,"Reajustar","No Reajustar")</f>
        <v>No Reajustar</v>
      </c>
      <c r="M89"/>
      <c r="N89"/>
    </row>
    <row r="90" spans="1:14" x14ac:dyDescent="0.3">
      <c r="A90" s="1" t="s">
        <v>133</v>
      </c>
      <c r="B90" s="1" t="s">
        <v>220</v>
      </c>
      <c r="C90" s="13">
        <v>5280</v>
      </c>
      <c r="D90" s="5">
        <v>32184</v>
      </c>
      <c r="E90" s="3" t="str">
        <f>TEXT(D90,"mmmm")</f>
        <v>February</v>
      </c>
      <c r="F90" s="5">
        <f ca="1">YEARFRAC(TODAY(),D90)</f>
        <v>37.527777777777779</v>
      </c>
      <c r="G90" s="1" t="s">
        <v>8</v>
      </c>
      <c r="H90" s="1" t="s">
        <v>12</v>
      </c>
      <c r="I90" s="1" t="s">
        <v>9</v>
      </c>
      <c r="J90" t="str">
        <f>IF(C90&gt;12000,"Reajustar","No Reajustar")</f>
        <v>No Reajustar</v>
      </c>
      <c r="M90"/>
      <c r="N90"/>
    </row>
    <row r="91" spans="1:14" x14ac:dyDescent="0.3">
      <c r="A91" s="1" t="s">
        <v>132</v>
      </c>
      <c r="B91" s="1" t="s">
        <v>220</v>
      </c>
      <c r="C91" s="13">
        <v>4400</v>
      </c>
      <c r="D91" s="5">
        <v>32174</v>
      </c>
      <c r="E91" s="3" t="str">
        <f>TEXT(D91,"mmmm")</f>
        <v>February</v>
      </c>
      <c r="F91" s="5">
        <f ca="1">YEARFRAC(TODAY(),D91)</f>
        <v>37.555555555555557</v>
      </c>
      <c r="G91" s="1" t="s">
        <v>8</v>
      </c>
      <c r="H91" s="1" t="s">
        <v>12</v>
      </c>
      <c r="I91" s="1" t="s">
        <v>9</v>
      </c>
      <c r="J91" t="str">
        <f>IF(C91&gt;12000,"Reajustar","No Reajustar")</f>
        <v>No Reajustar</v>
      </c>
      <c r="M91"/>
      <c r="N91"/>
    </row>
    <row r="92" spans="1:14" x14ac:dyDescent="0.3">
      <c r="A92" s="1" t="s">
        <v>131</v>
      </c>
      <c r="B92" s="1" t="s">
        <v>220</v>
      </c>
      <c r="C92" s="13">
        <v>4620</v>
      </c>
      <c r="D92" s="5">
        <v>32095</v>
      </c>
      <c r="E92" s="3" t="str">
        <f>TEXT(D92,"mmmm")</f>
        <v>November</v>
      </c>
      <c r="F92" s="5">
        <f ca="1">YEARFRAC(TODAY(),D92)</f>
        <v>37.769444444444446</v>
      </c>
      <c r="G92" s="1" t="s">
        <v>8</v>
      </c>
      <c r="H92" s="1" t="s">
        <v>12</v>
      </c>
      <c r="I92" s="1" t="s">
        <v>9</v>
      </c>
      <c r="J92" t="str">
        <f>IF(C92&gt;12000,"Reajustar","No Reajustar")</f>
        <v>No Reajustar</v>
      </c>
      <c r="M92"/>
      <c r="N92"/>
    </row>
    <row r="93" spans="1:14" x14ac:dyDescent="0.3">
      <c r="A93" s="1" t="s">
        <v>130</v>
      </c>
      <c r="B93" s="1" t="s">
        <v>220</v>
      </c>
      <c r="C93" s="13">
        <v>3080</v>
      </c>
      <c r="D93" s="5">
        <v>32013</v>
      </c>
      <c r="E93" s="3" t="str">
        <f>TEXT(D93,"mmmm")</f>
        <v>August</v>
      </c>
      <c r="F93" s="5">
        <f ca="1">YEARFRAC(TODAY(),D93)</f>
        <v>37.991666666666667</v>
      </c>
      <c r="G93" s="1" t="s">
        <v>8</v>
      </c>
      <c r="H93" s="1" t="s">
        <v>12</v>
      </c>
      <c r="I93" s="1" t="s">
        <v>9</v>
      </c>
      <c r="J93" t="str">
        <f>IF(C93&gt;12000,"Reajustar","No Reajustar")</f>
        <v>No Reajustar</v>
      </c>
      <c r="M93"/>
      <c r="N93"/>
    </row>
    <row r="94" spans="1:14" x14ac:dyDescent="0.3">
      <c r="A94" s="1" t="s">
        <v>129</v>
      </c>
      <c r="B94" s="1" t="s">
        <v>220</v>
      </c>
      <c r="C94" s="13">
        <v>4180</v>
      </c>
      <c r="D94" s="5">
        <v>31967</v>
      </c>
      <c r="E94" s="3" t="str">
        <f>TEXT(D94,"mmmm")</f>
        <v>July</v>
      </c>
      <c r="F94" s="5">
        <f ca="1">YEARFRAC(TODAY(),D94)</f>
        <v>38.116666666666667</v>
      </c>
      <c r="G94" s="1" t="s">
        <v>3</v>
      </c>
      <c r="H94" s="1" t="s">
        <v>12</v>
      </c>
      <c r="I94" s="1" t="s">
        <v>9</v>
      </c>
      <c r="J94" t="str">
        <f>IF(C94&gt;12000,"Reajustar","No Reajustar")</f>
        <v>No Reajustar</v>
      </c>
      <c r="M94"/>
      <c r="N94"/>
    </row>
    <row r="95" spans="1:14" x14ac:dyDescent="0.3">
      <c r="A95" s="1" t="s">
        <v>128</v>
      </c>
      <c r="B95" s="1" t="s">
        <v>223</v>
      </c>
      <c r="C95" s="13">
        <v>5400</v>
      </c>
      <c r="D95" s="5">
        <v>31915</v>
      </c>
      <c r="E95" s="3" t="str">
        <f>TEXT(D95,"mmmm")</f>
        <v>May</v>
      </c>
      <c r="F95" s="5">
        <f ca="1">YEARFRAC(TODAY(),D95)</f>
        <v>38.258333333333333</v>
      </c>
      <c r="G95" s="1" t="s">
        <v>8</v>
      </c>
      <c r="H95" s="1" t="s">
        <v>5</v>
      </c>
      <c r="I95" s="1" t="s">
        <v>9</v>
      </c>
      <c r="J95" t="str">
        <f>IF(C95&gt;12000,"Reajustar","No Reajustar")</f>
        <v>No Reajustar</v>
      </c>
      <c r="M95"/>
      <c r="N95"/>
    </row>
    <row r="96" spans="1:14" x14ac:dyDescent="0.3">
      <c r="A96" s="1" t="s">
        <v>127</v>
      </c>
      <c r="B96" s="1" t="s">
        <v>225</v>
      </c>
      <c r="C96" s="13">
        <v>5742</v>
      </c>
      <c r="D96" s="5">
        <v>31863</v>
      </c>
      <c r="E96" s="3" t="str">
        <f>TEXT(D96,"mmmm")</f>
        <v>March</v>
      </c>
      <c r="F96" s="5">
        <f ca="1">YEARFRAC(TODAY(),D96)</f>
        <v>38.4</v>
      </c>
      <c r="G96" s="1" t="s">
        <v>8</v>
      </c>
      <c r="H96" s="1" t="s">
        <v>12</v>
      </c>
      <c r="I96" s="1" t="s">
        <v>14</v>
      </c>
      <c r="J96" t="str">
        <f>IF(C96&gt;12000,"Reajustar","No Reajustar")</f>
        <v>No Reajustar</v>
      </c>
      <c r="M96"/>
      <c r="N96"/>
    </row>
    <row r="97" spans="1:14" x14ac:dyDescent="0.3">
      <c r="A97" s="1" t="s">
        <v>126</v>
      </c>
      <c r="B97" s="1" t="s">
        <v>220</v>
      </c>
      <c r="C97" s="13">
        <v>4620</v>
      </c>
      <c r="D97" s="5">
        <v>31816</v>
      </c>
      <c r="E97" s="3" t="str">
        <f>TEXT(D97,"mmmm")</f>
        <v>February</v>
      </c>
      <c r="F97" s="5">
        <f ca="1">YEARFRAC(TODAY(),D97)</f>
        <v>38.536111111111111</v>
      </c>
      <c r="G97" s="1" t="s">
        <v>3</v>
      </c>
      <c r="H97" s="1" t="s">
        <v>12</v>
      </c>
      <c r="I97" s="1" t="s">
        <v>9</v>
      </c>
      <c r="J97" t="str">
        <f>IF(C97&gt;12000,"Reajustar","No Reajustar")</f>
        <v>No Reajustar</v>
      </c>
      <c r="M97"/>
      <c r="N97"/>
    </row>
    <row r="98" spans="1:14" x14ac:dyDescent="0.3">
      <c r="A98" s="1" t="s">
        <v>125</v>
      </c>
      <c r="B98" s="1" t="s">
        <v>220</v>
      </c>
      <c r="C98" s="13">
        <v>3740</v>
      </c>
      <c r="D98" s="5">
        <v>31738</v>
      </c>
      <c r="E98" s="3" t="str">
        <f>TEXT(D98,"mmmm")</f>
        <v>November</v>
      </c>
      <c r="F98" s="5">
        <f ca="1">YEARFRAC(TODAY(),D98)</f>
        <v>38.74722222222222</v>
      </c>
      <c r="G98" s="1" t="s">
        <v>8</v>
      </c>
      <c r="H98" s="1" t="s">
        <v>12</v>
      </c>
      <c r="I98" s="1" t="s">
        <v>9</v>
      </c>
      <c r="J98" t="str">
        <f>IF(C98&gt;12000,"Reajustar","No Reajustar")</f>
        <v>No Reajustar</v>
      </c>
      <c r="M98"/>
      <c r="N98"/>
    </row>
    <row r="99" spans="1:14" x14ac:dyDescent="0.3">
      <c r="A99" s="1" t="s">
        <v>124</v>
      </c>
      <c r="B99" s="1" t="s">
        <v>241</v>
      </c>
      <c r="C99" s="13">
        <v>8701</v>
      </c>
      <c r="D99" s="5">
        <v>31725</v>
      </c>
      <c r="E99" s="3" t="str">
        <f>TEXT(D99,"mmmm")</f>
        <v>November</v>
      </c>
      <c r="F99" s="5">
        <f ca="1">YEARFRAC(TODAY(),D99)</f>
        <v>38.783333333333331</v>
      </c>
      <c r="G99" s="1" t="s">
        <v>3</v>
      </c>
      <c r="H99" s="1" t="s">
        <v>4</v>
      </c>
      <c r="I99" s="1" t="s">
        <v>9</v>
      </c>
      <c r="J99" t="str">
        <f>IF(C99&gt;12000,"Reajustar","No Reajustar")</f>
        <v>No Reajustar</v>
      </c>
      <c r="M99"/>
      <c r="N99"/>
    </row>
    <row r="100" spans="1:14" x14ac:dyDescent="0.3">
      <c r="A100" s="1" t="s">
        <v>123</v>
      </c>
      <c r="B100" s="1" t="s">
        <v>230</v>
      </c>
      <c r="C100" s="13">
        <v>11880</v>
      </c>
      <c r="D100" s="5">
        <v>31722</v>
      </c>
      <c r="E100" s="3" t="str">
        <f>TEXT(D100,"mmmm")</f>
        <v>November</v>
      </c>
      <c r="F100" s="5">
        <f ca="1">YEARFRAC(TODAY(),D100)</f>
        <v>38.791666666666664</v>
      </c>
      <c r="G100" s="1" t="s">
        <v>8</v>
      </c>
      <c r="H100" s="1" t="s">
        <v>12</v>
      </c>
      <c r="I100" s="1" t="s">
        <v>9</v>
      </c>
      <c r="J100" t="str">
        <f>IF(C100&gt;12000,"Reajustar","No Reajustar")</f>
        <v>No Reajustar</v>
      </c>
      <c r="M100"/>
      <c r="N100"/>
    </row>
    <row r="101" spans="1:14" x14ac:dyDescent="0.3">
      <c r="A101" s="1" t="s">
        <v>122</v>
      </c>
      <c r="B101" s="1" t="s">
        <v>230</v>
      </c>
      <c r="C101" s="13">
        <v>12100</v>
      </c>
      <c r="D101" s="5">
        <v>31710</v>
      </c>
      <c r="E101" s="3" t="str">
        <f>TEXT(D101,"mmmm")</f>
        <v>October</v>
      </c>
      <c r="F101" s="5">
        <f ca="1">YEARFRAC(TODAY(),D101)</f>
        <v>38.822222222222223</v>
      </c>
      <c r="G101" s="1" t="s">
        <v>3</v>
      </c>
      <c r="H101" s="1" t="s">
        <v>12</v>
      </c>
      <c r="I101" s="1" t="s">
        <v>14</v>
      </c>
      <c r="J101" t="str">
        <f>IF(C101&gt;12000,"Reajustar","No Reajustar")</f>
        <v>Reajustar</v>
      </c>
      <c r="M101"/>
      <c r="N101"/>
    </row>
    <row r="102" spans="1:14" x14ac:dyDescent="0.3">
      <c r="A102" s="1" t="s">
        <v>121</v>
      </c>
      <c r="B102" s="1" t="s">
        <v>230</v>
      </c>
      <c r="C102" s="13">
        <v>11660</v>
      </c>
      <c r="D102" s="5">
        <v>31692</v>
      </c>
      <c r="E102" s="3" t="str">
        <f>TEXT(D102,"mmmm")</f>
        <v>October</v>
      </c>
      <c r="F102" s="5">
        <f ca="1">YEARFRAC(TODAY(),D102)</f>
        <v>38.87222222222222</v>
      </c>
      <c r="G102" s="1" t="s">
        <v>8</v>
      </c>
      <c r="H102" s="1" t="s">
        <v>12</v>
      </c>
      <c r="I102" s="1" t="s">
        <v>9</v>
      </c>
      <c r="J102" t="str">
        <f>IF(C102&gt;12000,"Reajustar","No Reajustar")</f>
        <v>No Reajustar</v>
      </c>
      <c r="M102"/>
      <c r="N102"/>
    </row>
    <row r="103" spans="1:14" x14ac:dyDescent="0.3">
      <c r="A103" s="1" t="s">
        <v>120</v>
      </c>
      <c r="B103" s="1" t="s">
        <v>232</v>
      </c>
      <c r="C103" s="13">
        <v>10500</v>
      </c>
      <c r="D103" s="5">
        <v>31630</v>
      </c>
      <c r="E103" s="3" t="str">
        <f>TEXT(D103,"mmmm")</f>
        <v>August</v>
      </c>
      <c r="F103" s="5">
        <f ca="1">YEARFRAC(TODAY(),D103)</f>
        <v>39.041666666666664</v>
      </c>
      <c r="G103" s="1" t="s">
        <v>8</v>
      </c>
      <c r="H103" s="1" t="s">
        <v>4</v>
      </c>
      <c r="I103" s="1" t="s">
        <v>9</v>
      </c>
      <c r="J103" t="str">
        <f>IF(C103&gt;12000,"Reajustar","No Reajustar")</f>
        <v>No Reajustar</v>
      </c>
      <c r="M103"/>
      <c r="N103"/>
    </row>
    <row r="104" spans="1:14" x14ac:dyDescent="0.3">
      <c r="A104" s="1" t="s">
        <v>119</v>
      </c>
      <c r="B104" s="1" t="s">
        <v>229</v>
      </c>
      <c r="C104" s="13">
        <v>8580</v>
      </c>
      <c r="D104" s="5">
        <v>31517</v>
      </c>
      <c r="E104" s="3" t="str">
        <f>TEXT(D104,"mmmm")</f>
        <v>April</v>
      </c>
      <c r="F104" s="5">
        <f ca="1">YEARFRAC(TODAY(),D104)</f>
        <v>39.35</v>
      </c>
      <c r="G104" s="1" t="s">
        <v>8</v>
      </c>
      <c r="H104" s="1" t="s">
        <v>4</v>
      </c>
      <c r="I104" s="1" t="s">
        <v>9</v>
      </c>
      <c r="J104" t="str">
        <f>IF(C104&gt;12000,"Reajustar","No Reajustar")</f>
        <v>No Reajustar</v>
      </c>
      <c r="M104"/>
      <c r="N104"/>
    </row>
    <row r="105" spans="1:14" x14ac:dyDescent="0.3">
      <c r="A105" s="1" t="s">
        <v>118</v>
      </c>
      <c r="B105" s="1" t="s">
        <v>231</v>
      </c>
      <c r="C105" s="13">
        <v>10340</v>
      </c>
      <c r="D105" s="5">
        <v>31515</v>
      </c>
      <c r="E105" s="3" t="str">
        <f>TEXT(D105,"mmmm")</f>
        <v>April</v>
      </c>
      <c r="F105" s="5">
        <f ca="1">YEARFRAC(TODAY(),D105)</f>
        <v>39.355555555555554</v>
      </c>
      <c r="G105" s="1" t="s">
        <v>3</v>
      </c>
      <c r="H105" s="1" t="s">
        <v>4</v>
      </c>
      <c r="I105" s="1" t="s">
        <v>9</v>
      </c>
      <c r="J105" t="str">
        <f>IF(C105&gt;12000,"Reajustar","No Reajustar")</f>
        <v>No Reajustar</v>
      </c>
      <c r="M105"/>
      <c r="N105"/>
    </row>
    <row r="106" spans="1:14" x14ac:dyDescent="0.3">
      <c r="A106" s="1" t="s">
        <v>117</v>
      </c>
      <c r="B106" s="1" t="s">
        <v>220</v>
      </c>
      <c r="C106" s="13">
        <v>5280</v>
      </c>
      <c r="D106" s="5">
        <v>31486</v>
      </c>
      <c r="E106" s="3" t="str">
        <f>TEXT(D106,"mmmm")</f>
        <v>March</v>
      </c>
      <c r="F106" s="5">
        <f ca="1">YEARFRAC(TODAY(),D106)</f>
        <v>39.43333333333333</v>
      </c>
      <c r="G106" s="1" t="s">
        <v>3</v>
      </c>
      <c r="H106" s="1" t="s">
        <v>12</v>
      </c>
      <c r="I106" s="1" t="s">
        <v>9</v>
      </c>
      <c r="J106" t="str">
        <f>IF(C106&gt;12000,"Reajustar","No Reajustar")</f>
        <v>No Reajustar</v>
      </c>
      <c r="M106"/>
      <c r="N106"/>
    </row>
    <row r="107" spans="1:14" x14ac:dyDescent="0.3">
      <c r="A107" s="1" t="s">
        <v>116</v>
      </c>
      <c r="B107" s="1" t="s">
        <v>240</v>
      </c>
      <c r="C107" s="13">
        <v>7500</v>
      </c>
      <c r="D107" s="5">
        <v>31385</v>
      </c>
      <c r="E107" s="3" t="str">
        <f>TEXT(D107,"mmmm")</f>
        <v>December</v>
      </c>
      <c r="F107" s="5">
        <f ca="1">YEARFRAC(TODAY(),D107)</f>
        <v>39.713888888888889</v>
      </c>
      <c r="G107" s="1" t="s">
        <v>3</v>
      </c>
      <c r="H107" s="1" t="s">
        <v>4</v>
      </c>
      <c r="I107" s="1" t="s">
        <v>9</v>
      </c>
      <c r="J107" t="str">
        <f>IF(C107&gt;12000,"Reajustar","No Reajustar")</f>
        <v>No Reajustar</v>
      </c>
      <c r="M107"/>
      <c r="N107"/>
    </row>
    <row r="108" spans="1:14" x14ac:dyDescent="0.3">
      <c r="A108" s="1" t="s">
        <v>115</v>
      </c>
      <c r="B108" s="1" t="s">
        <v>220</v>
      </c>
      <c r="C108" s="13">
        <v>5445</v>
      </c>
      <c r="D108" s="5">
        <v>31284</v>
      </c>
      <c r="E108" s="3" t="str">
        <f>TEXT(D108,"mmmm")</f>
        <v>August</v>
      </c>
      <c r="F108" s="5">
        <f ca="1">YEARFRAC(TODAY(),D108)</f>
        <v>39.988888888888887</v>
      </c>
      <c r="G108" s="1" t="s">
        <v>3</v>
      </c>
      <c r="H108" s="1" t="s">
        <v>12</v>
      </c>
      <c r="I108" s="1" t="s">
        <v>14</v>
      </c>
      <c r="J108" t="str">
        <f>IF(C108&gt;12000,"Reajustar","No Reajustar")</f>
        <v>No Reajustar</v>
      </c>
      <c r="M108"/>
      <c r="N108"/>
    </row>
    <row r="109" spans="1:14" x14ac:dyDescent="0.3">
      <c r="A109" s="1" t="s">
        <v>114</v>
      </c>
      <c r="B109" s="1" t="s">
        <v>220</v>
      </c>
      <c r="C109" s="13">
        <v>3520</v>
      </c>
      <c r="D109" s="5">
        <v>31263</v>
      </c>
      <c r="E109" s="3" t="str">
        <f>TEXT(D109,"mmmm")</f>
        <v>August</v>
      </c>
      <c r="F109" s="5">
        <f ca="1">YEARFRAC(TODAY(),D109)</f>
        <v>40.047222222222224</v>
      </c>
      <c r="G109" s="1" t="s">
        <v>8</v>
      </c>
      <c r="H109" s="1" t="s">
        <v>12</v>
      </c>
      <c r="I109" s="1" t="s">
        <v>14</v>
      </c>
      <c r="J109" t="str">
        <f>IF(C109&gt;12000,"Reajustar","No Reajustar")</f>
        <v>No Reajustar</v>
      </c>
      <c r="M109"/>
      <c r="N109"/>
    </row>
    <row r="110" spans="1:14" x14ac:dyDescent="0.3">
      <c r="A110" s="1" t="s">
        <v>113</v>
      </c>
      <c r="B110" s="1" t="s">
        <v>239</v>
      </c>
      <c r="C110" s="13">
        <v>14300</v>
      </c>
      <c r="D110" s="5">
        <v>31173</v>
      </c>
      <c r="E110" s="3" t="str">
        <f>TEXT(D110,"mmmm")</f>
        <v>May</v>
      </c>
      <c r="F110" s="5">
        <f ca="1">YEARFRAC(TODAY(),D110)</f>
        <v>40.291666666666664</v>
      </c>
      <c r="G110" s="1" t="s">
        <v>8</v>
      </c>
      <c r="H110" s="1" t="s">
        <v>4</v>
      </c>
      <c r="I110" s="1" t="s">
        <v>14</v>
      </c>
      <c r="J110" t="str">
        <f>IF(C110&gt;12000,"Reajustar","No Reajustar")</f>
        <v>Reajustar</v>
      </c>
      <c r="M110"/>
      <c r="N110"/>
    </row>
    <row r="111" spans="1:14" x14ac:dyDescent="0.3">
      <c r="A111" s="1" t="s">
        <v>112</v>
      </c>
      <c r="B111" s="1" t="s">
        <v>220</v>
      </c>
      <c r="C111" s="13">
        <v>3960</v>
      </c>
      <c r="D111" s="5">
        <v>31154</v>
      </c>
      <c r="E111" s="3" t="str">
        <f>TEXT(D111,"mmmm")</f>
        <v>April</v>
      </c>
      <c r="F111" s="5">
        <f ca="1">YEARFRAC(TODAY(),D111)</f>
        <v>40.344444444444441</v>
      </c>
      <c r="G111" s="1" t="s">
        <v>8</v>
      </c>
      <c r="H111" s="1" t="s">
        <v>12</v>
      </c>
      <c r="I111" s="1" t="s">
        <v>9</v>
      </c>
      <c r="J111" t="str">
        <f>IF(C111&gt;12000,"Reajustar","No Reajustar")</f>
        <v>No Reajustar</v>
      </c>
      <c r="M111"/>
      <c r="N111"/>
    </row>
    <row r="112" spans="1:14" x14ac:dyDescent="0.3">
      <c r="A112" s="1" t="s">
        <v>111</v>
      </c>
      <c r="B112" s="1" t="s">
        <v>225</v>
      </c>
      <c r="C112" s="13">
        <v>5500</v>
      </c>
      <c r="D112" s="5">
        <v>31079</v>
      </c>
      <c r="E112" s="3" t="str">
        <f>TEXT(D112,"mmmm")</f>
        <v>February</v>
      </c>
      <c r="F112" s="5">
        <f ca="1">YEARFRAC(TODAY(),D112)</f>
        <v>40.555555555555557</v>
      </c>
      <c r="G112" s="1" t="s">
        <v>8</v>
      </c>
      <c r="H112" s="1" t="s">
        <v>12</v>
      </c>
      <c r="I112" s="1" t="s">
        <v>9</v>
      </c>
      <c r="J112" t="str">
        <f>IF(C112&gt;12000,"Reajustar","No Reajustar")</f>
        <v>No Reajustar</v>
      </c>
      <c r="M112"/>
      <c r="N112"/>
    </row>
    <row r="113" spans="1:14" x14ac:dyDescent="0.3">
      <c r="A113" s="1" t="s">
        <v>110</v>
      </c>
      <c r="B113" s="1" t="s">
        <v>220</v>
      </c>
      <c r="C113" s="13">
        <v>4620</v>
      </c>
      <c r="D113" s="5">
        <v>31078</v>
      </c>
      <c r="E113" s="3" t="str">
        <f>TEXT(D113,"mmmm")</f>
        <v>January</v>
      </c>
      <c r="F113" s="5">
        <f ca="1">YEARFRAC(TODAY(),D113)</f>
        <v>40.55833333333333</v>
      </c>
      <c r="G113" s="1" t="s">
        <v>3</v>
      </c>
      <c r="H113" s="1" t="s">
        <v>12</v>
      </c>
      <c r="I113" s="1" t="s">
        <v>9</v>
      </c>
      <c r="J113" t="str">
        <f>IF(C113&gt;12000,"Reajustar","No Reajustar")</f>
        <v>No Reajustar</v>
      </c>
      <c r="M113"/>
      <c r="N113"/>
    </row>
    <row r="114" spans="1:14" x14ac:dyDescent="0.3">
      <c r="A114" s="1" t="s">
        <v>109</v>
      </c>
      <c r="B114" s="1" t="s">
        <v>220</v>
      </c>
      <c r="C114" s="13">
        <v>4290</v>
      </c>
      <c r="D114" s="5">
        <v>31016</v>
      </c>
      <c r="E114" s="3" t="str">
        <f>TEXT(D114,"mmmm")</f>
        <v>November</v>
      </c>
      <c r="F114" s="5">
        <f ca="1">YEARFRAC(TODAY(),D114)</f>
        <v>40.725000000000001</v>
      </c>
      <c r="G114" s="1" t="s">
        <v>8</v>
      </c>
      <c r="H114" s="1" t="s">
        <v>12</v>
      </c>
      <c r="I114" s="1" t="s">
        <v>9</v>
      </c>
      <c r="J114" t="str">
        <f>IF(C114&gt;12000,"Reajustar","No Reajustar")</f>
        <v>No Reajustar</v>
      </c>
      <c r="M114"/>
      <c r="N114"/>
    </row>
    <row r="115" spans="1:14" x14ac:dyDescent="0.3">
      <c r="A115" s="1" t="s">
        <v>108</v>
      </c>
      <c r="B115" s="1" t="s">
        <v>224</v>
      </c>
      <c r="C115" s="13">
        <v>8000</v>
      </c>
      <c r="D115" s="5">
        <v>31011</v>
      </c>
      <c r="E115" s="3" t="str">
        <f>TEXT(D115,"mmmm")</f>
        <v>November</v>
      </c>
      <c r="F115" s="5">
        <f ca="1">YEARFRAC(TODAY(),D115)</f>
        <v>40.738888888888887</v>
      </c>
      <c r="G115" s="1" t="s">
        <v>8</v>
      </c>
      <c r="H115" s="1" t="s">
        <v>5</v>
      </c>
      <c r="I115" s="1" t="s">
        <v>9</v>
      </c>
      <c r="J115" t="str">
        <f>IF(C115&gt;12000,"Reajustar","No Reajustar")</f>
        <v>No Reajustar</v>
      </c>
      <c r="M115"/>
      <c r="N115"/>
    </row>
    <row r="116" spans="1:14" x14ac:dyDescent="0.3">
      <c r="A116" s="1" t="s">
        <v>107</v>
      </c>
      <c r="B116" s="1" t="s">
        <v>220</v>
      </c>
      <c r="C116" s="13">
        <v>4840</v>
      </c>
      <c r="D116" s="5">
        <v>31008</v>
      </c>
      <c r="E116" s="3" t="str">
        <f>TEXT(D116,"mmmm")</f>
        <v>November</v>
      </c>
      <c r="F116" s="5">
        <f ca="1">YEARFRAC(TODAY(),D116)</f>
        <v>40.74722222222222</v>
      </c>
      <c r="G116" s="1" t="s">
        <v>8</v>
      </c>
      <c r="H116" s="1" t="s">
        <v>12</v>
      </c>
      <c r="I116" s="1" t="s">
        <v>10</v>
      </c>
      <c r="J116" t="str">
        <f>IF(C116&gt;12000,"Reajustar","No Reajustar")</f>
        <v>No Reajustar</v>
      </c>
      <c r="M116"/>
      <c r="N116"/>
    </row>
    <row r="117" spans="1:14" x14ac:dyDescent="0.3">
      <c r="A117" s="1" t="s">
        <v>106</v>
      </c>
      <c r="B117" s="1" t="s">
        <v>225</v>
      </c>
      <c r="C117" s="13">
        <v>5720</v>
      </c>
      <c r="D117" s="5">
        <v>30956</v>
      </c>
      <c r="E117" s="3" t="str">
        <f>TEXT(D117,"mmmm")</f>
        <v>October</v>
      </c>
      <c r="F117" s="5">
        <f ca="1">YEARFRAC(TODAY(),D117)</f>
        <v>40.888888888888886</v>
      </c>
      <c r="G117" s="1" t="s">
        <v>3</v>
      </c>
      <c r="H117" s="1" t="s">
        <v>12</v>
      </c>
      <c r="I117" s="1" t="s">
        <v>9</v>
      </c>
      <c r="J117" t="str">
        <f>IF(C117&gt;12000,"Reajustar","No Reajustar")</f>
        <v>No Reajustar</v>
      </c>
      <c r="M117"/>
      <c r="N117"/>
    </row>
    <row r="118" spans="1:14" x14ac:dyDescent="0.3">
      <c r="A118" s="1" t="s">
        <v>105</v>
      </c>
      <c r="B118" s="1" t="s">
        <v>225</v>
      </c>
      <c r="C118" s="13">
        <v>5500</v>
      </c>
      <c r="D118" s="5">
        <v>30937</v>
      </c>
      <c r="E118" s="3" t="str">
        <f>TEXT(D118,"mmmm")</f>
        <v>September</v>
      </c>
      <c r="F118" s="5">
        <f ca="1">YEARFRAC(TODAY(),D118)</f>
        <v>40.94166666666667</v>
      </c>
      <c r="G118" s="1" t="s">
        <v>8</v>
      </c>
      <c r="H118" s="1" t="s">
        <v>12</v>
      </c>
      <c r="I118" s="1" t="s">
        <v>9</v>
      </c>
      <c r="J118" t="str">
        <f>IF(C118&gt;12000,"Reajustar","No Reajustar")</f>
        <v>No Reajustar</v>
      </c>
      <c r="M118"/>
      <c r="N118"/>
    </row>
    <row r="119" spans="1:14" x14ac:dyDescent="0.3">
      <c r="A119" s="1" t="s">
        <v>104</v>
      </c>
      <c r="B119" s="1" t="s">
        <v>238</v>
      </c>
      <c r="C119" s="13">
        <v>14300</v>
      </c>
      <c r="D119" s="5">
        <v>30922</v>
      </c>
      <c r="E119" s="3" t="str">
        <f>TEXT(D119,"mmmm")</f>
        <v>August</v>
      </c>
      <c r="F119" s="5">
        <f ca="1">YEARFRAC(TODAY(),D119)</f>
        <v>40.980555555555554</v>
      </c>
      <c r="G119" s="1" t="s">
        <v>8</v>
      </c>
      <c r="H119" s="1" t="s">
        <v>4</v>
      </c>
      <c r="I119" s="1" t="s">
        <v>14</v>
      </c>
      <c r="J119" t="str">
        <f>IF(C119&gt;12000,"Reajustar","No Reajustar")</f>
        <v>Reajustar</v>
      </c>
      <c r="M119"/>
      <c r="N119"/>
    </row>
    <row r="120" spans="1:14" x14ac:dyDescent="0.3">
      <c r="A120" s="1" t="s">
        <v>103</v>
      </c>
      <c r="B120" s="1" t="s">
        <v>220</v>
      </c>
      <c r="C120" s="13">
        <v>3740</v>
      </c>
      <c r="D120" s="5">
        <v>30835</v>
      </c>
      <c r="E120" s="3" t="str">
        <f>TEXT(D120,"mmmm")</f>
        <v>June</v>
      </c>
      <c r="F120" s="5">
        <f ca="1">YEARFRAC(TODAY(),D120)</f>
        <v>41.219444444444441</v>
      </c>
      <c r="G120" s="1" t="s">
        <v>8</v>
      </c>
      <c r="H120" s="1" t="s">
        <v>12</v>
      </c>
      <c r="I120" s="1" t="s">
        <v>9</v>
      </c>
      <c r="J120" t="str">
        <f>IF(C120&gt;12000,"Reajustar","No Reajustar")</f>
        <v>No Reajustar</v>
      </c>
      <c r="M120"/>
      <c r="N120"/>
    </row>
    <row r="121" spans="1:14" x14ac:dyDescent="0.3">
      <c r="A121" s="1" t="s">
        <v>102</v>
      </c>
      <c r="B121" s="1" t="s">
        <v>231</v>
      </c>
      <c r="C121" s="13">
        <v>10472</v>
      </c>
      <c r="D121" s="5">
        <v>30824</v>
      </c>
      <c r="E121" s="3" t="str">
        <f>TEXT(D121,"mmmm")</f>
        <v>May</v>
      </c>
      <c r="F121" s="5">
        <f ca="1">YEARFRAC(TODAY(),D121)</f>
        <v>41.24722222222222</v>
      </c>
      <c r="G121" s="1" t="s">
        <v>8</v>
      </c>
      <c r="H121" s="1" t="s">
        <v>4</v>
      </c>
      <c r="I121" s="1" t="s">
        <v>9</v>
      </c>
      <c r="J121" t="str">
        <f>IF(C121&gt;12000,"Reajustar","No Reajustar")</f>
        <v>No Reajustar</v>
      </c>
      <c r="M121"/>
      <c r="N121"/>
    </row>
    <row r="122" spans="1:14" x14ac:dyDescent="0.3">
      <c r="A122" s="1" t="s">
        <v>101</v>
      </c>
      <c r="B122" s="1" t="s">
        <v>220</v>
      </c>
      <c r="C122" s="13">
        <v>3300</v>
      </c>
      <c r="D122" s="5">
        <v>30821</v>
      </c>
      <c r="E122" s="3" t="str">
        <f>TEXT(D122,"mmmm")</f>
        <v>May</v>
      </c>
      <c r="F122" s="5">
        <f ca="1">YEARFRAC(TODAY(),D122)</f>
        <v>41.255555555555553</v>
      </c>
      <c r="G122" s="1" t="s">
        <v>3</v>
      </c>
      <c r="H122" s="1" t="s">
        <v>12</v>
      </c>
      <c r="I122" s="1" t="s">
        <v>9</v>
      </c>
      <c r="J122" t="str">
        <f>IF(C122&gt;12000,"Reajustar","No Reajustar")</f>
        <v>No Reajustar</v>
      </c>
      <c r="M122"/>
      <c r="N122"/>
    </row>
    <row r="123" spans="1:14" x14ac:dyDescent="0.3">
      <c r="A123" s="1" t="s">
        <v>100</v>
      </c>
      <c r="B123" s="1" t="s">
        <v>231</v>
      </c>
      <c r="C123" s="13">
        <v>12566</v>
      </c>
      <c r="D123" s="5">
        <v>30807</v>
      </c>
      <c r="E123" s="3" t="str">
        <f>TEXT(D123,"mmmm")</f>
        <v>May</v>
      </c>
      <c r="F123" s="5">
        <f ca="1">YEARFRAC(TODAY(),D123)</f>
        <v>41.294444444444444</v>
      </c>
      <c r="G123" s="1" t="s">
        <v>8</v>
      </c>
      <c r="H123" s="1" t="s">
        <v>4</v>
      </c>
      <c r="I123" s="1" t="s">
        <v>9</v>
      </c>
      <c r="J123" t="str">
        <f>IF(C123&gt;12000,"Reajustar","No Reajustar")</f>
        <v>Reajustar</v>
      </c>
      <c r="M123"/>
      <c r="N123"/>
    </row>
    <row r="124" spans="1:14" x14ac:dyDescent="0.3">
      <c r="A124" s="1" t="s">
        <v>99</v>
      </c>
      <c r="B124" s="1" t="s">
        <v>237</v>
      </c>
      <c r="C124" s="13">
        <v>7689</v>
      </c>
      <c r="D124" s="5">
        <v>30786</v>
      </c>
      <c r="E124" s="3" t="str">
        <f>TEXT(D124,"mmmm")</f>
        <v>April</v>
      </c>
      <c r="F124" s="5">
        <f ca="1">YEARFRAC(TODAY(),D124)</f>
        <v>41.352777777777774</v>
      </c>
      <c r="G124" s="1" t="s">
        <v>3</v>
      </c>
      <c r="H124" s="1" t="s">
        <v>11</v>
      </c>
      <c r="I124" s="1" t="s">
        <v>9</v>
      </c>
      <c r="J124" t="str">
        <f>IF(C124&gt;12000,"Reajustar","No Reajustar")</f>
        <v>No Reajustar</v>
      </c>
      <c r="M124"/>
      <c r="N124"/>
    </row>
    <row r="125" spans="1:14" x14ac:dyDescent="0.3">
      <c r="A125" s="1" t="s">
        <v>98</v>
      </c>
      <c r="B125" s="1" t="s">
        <v>231</v>
      </c>
      <c r="C125" s="13">
        <v>5940</v>
      </c>
      <c r="D125" s="5">
        <v>30774</v>
      </c>
      <c r="E125" s="3" t="str">
        <f>TEXT(D125,"mmmm")</f>
        <v>April</v>
      </c>
      <c r="F125" s="5">
        <f ca="1">YEARFRAC(TODAY(),D125)</f>
        <v>41.386111111111113</v>
      </c>
      <c r="G125" s="1" t="s">
        <v>3</v>
      </c>
      <c r="H125" s="1" t="s">
        <v>4</v>
      </c>
      <c r="I125" s="1" t="s">
        <v>9</v>
      </c>
      <c r="J125" t="str">
        <f>IF(C125&gt;12000,"Reajustar","No Reajustar")</f>
        <v>No Reajustar</v>
      </c>
      <c r="M125"/>
      <c r="N125"/>
    </row>
    <row r="126" spans="1:14" x14ac:dyDescent="0.3">
      <c r="A126" s="1" t="s">
        <v>97</v>
      </c>
      <c r="B126" s="1" t="s">
        <v>225</v>
      </c>
      <c r="C126" s="13">
        <v>4840</v>
      </c>
      <c r="D126" s="5">
        <v>30758</v>
      </c>
      <c r="E126" s="3" t="str">
        <f>TEXT(D126,"mmmm")</f>
        <v>March</v>
      </c>
      <c r="F126" s="5">
        <f ca="1">YEARFRAC(TODAY(),D126)</f>
        <v>41.427777777777777</v>
      </c>
      <c r="G126" s="1" t="s">
        <v>3</v>
      </c>
      <c r="H126" s="1" t="s">
        <v>12</v>
      </c>
      <c r="I126" s="1" t="s">
        <v>9</v>
      </c>
      <c r="J126" t="str">
        <f>IF(C126&gt;12000,"Reajustar","No Reajustar")</f>
        <v>No Reajustar</v>
      </c>
      <c r="M126"/>
      <c r="N126"/>
    </row>
    <row r="127" spans="1:14" x14ac:dyDescent="0.3">
      <c r="A127" s="1" t="s">
        <v>96</v>
      </c>
      <c r="B127" s="1" t="s">
        <v>233</v>
      </c>
      <c r="C127" s="13">
        <v>6908</v>
      </c>
      <c r="D127" s="5">
        <v>30735</v>
      </c>
      <c r="E127" s="3" t="str">
        <f>TEXT(D127,"mmmm")</f>
        <v>February</v>
      </c>
      <c r="F127" s="5">
        <f ca="1">YEARFRAC(TODAY(),D127)</f>
        <v>41.494444444444447</v>
      </c>
      <c r="G127" s="1" t="s">
        <v>8</v>
      </c>
      <c r="H127" s="1" t="s">
        <v>4</v>
      </c>
      <c r="I127" s="1" t="s">
        <v>9</v>
      </c>
      <c r="J127" t="str">
        <f>IF(C127&gt;12000,"Reajustar","No Reajustar")</f>
        <v>No Reajustar</v>
      </c>
      <c r="M127"/>
      <c r="N127"/>
    </row>
    <row r="128" spans="1:14" x14ac:dyDescent="0.3">
      <c r="A128" s="1" t="s">
        <v>95</v>
      </c>
      <c r="B128" s="1" t="s">
        <v>225</v>
      </c>
      <c r="C128" s="13">
        <v>5940</v>
      </c>
      <c r="D128" s="5">
        <v>30580</v>
      </c>
      <c r="E128" s="3" t="str">
        <f>TEXT(D128,"mmmm")</f>
        <v>September</v>
      </c>
      <c r="F128" s="5">
        <f ca="1">YEARFRAC(TODAY(),D128)</f>
        <v>41.916666666666664</v>
      </c>
      <c r="G128" s="1" t="s">
        <v>3</v>
      </c>
      <c r="H128" s="1" t="s">
        <v>12</v>
      </c>
      <c r="I128" s="1" t="s">
        <v>9</v>
      </c>
      <c r="J128" t="str">
        <f>IF(C128&gt;12000,"Reajustar","No Reajustar")</f>
        <v>No Reajustar</v>
      </c>
      <c r="M128"/>
      <c r="N128"/>
    </row>
    <row r="129" spans="1:14" x14ac:dyDescent="0.3">
      <c r="A129" s="1" t="s">
        <v>94</v>
      </c>
      <c r="B129" s="1" t="s">
        <v>220</v>
      </c>
      <c r="C129" s="13">
        <v>4620</v>
      </c>
      <c r="D129" s="5">
        <v>30552</v>
      </c>
      <c r="E129" s="3" t="str">
        <f>TEXT(D129,"mmmm")</f>
        <v>August</v>
      </c>
      <c r="F129" s="5">
        <f ca="1">YEARFRAC(TODAY(),D129)</f>
        <v>41.991666666666667</v>
      </c>
      <c r="G129" s="1" t="s">
        <v>3</v>
      </c>
      <c r="H129" s="1" t="s">
        <v>12</v>
      </c>
      <c r="I129" s="1" t="s">
        <v>9</v>
      </c>
      <c r="J129" t="str">
        <f>IF(C129&gt;12000,"Reajustar","No Reajustar")</f>
        <v>No Reajustar</v>
      </c>
      <c r="M129"/>
      <c r="N129"/>
    </row>
    <row r="130" spans="1:14" x14ac:dyDescent="0.3">
      <c r="A130" s="1" t="s">
        <v>93</v>
      </c>
      <c r="B130" s="1" t="s">
        <v>220</v>
      </c>
      <c r="C130" s="13">
        <v>3300</v>
      </c>
      <c r="D130" s="5">
        <v>30544</v>
      </c>
      <c r="E130" s="3" t="str">
        <f>TEXT(D130,"mmmm")</f>
        <v>August</v>
      </c>
      <c r="F130" s="5">
        <f ca="1">YEARFRAC(TODAY(),D130)</f>
        <v>42.013888888888886</v>
      </c>
      <c r="G130" s="1" t="s">
        <v>8</v>
      </c>
      <c r="H130" s="1" t="s">
        <v>12</v>
      </c>
      <c r="I130" s="1" t="s">
        <v>9</v>
      </c>
      <c r="J130" t="str">
        <f>IF(C130&gt;12000,"Reajustar","No Reajustar")</f>
        <v>No Reajustar</v>
      </c>
      <c r="M130"/>
      <c r="N130"/>
    </row>
    <row r="131" spans="1:14" x14ac:dyDescent="0.3">
      <c r="A131" s="1" t="s">
        <v>92</v>
      </c>
      <c r="B131" s="1" t="s">
        <v>220</v>
      </c>
      <c r="C131" s="13">
        <v>3300</v>
      </c>
      <c r="D131" s="5">
        <v>30446</v>
      </c>
      <c r="E131" s="3" t="str">
        <f>TEXT(D131,"mmmm")</f>
        <v>May</v>
      </c>
      <c r="F131" s="5">
        <f ca="1">YEARFRAC(TODAY(),D131)</f>
        <v>42.280555555555559</v>
      </c>
      <c r="G131" s="1" t="s">
        <v>3</v>
      </c>
      <c r="H131" s="1" t="s">
        <v>12</v>
      </c>
      <c r="I131" s="1" t="s">
        <v>9</v>
      </c>
      <c r="J131" t="str">
        <f>IF(C131&gt;12000,"Reajustar","No Reajustar")</f>
        <v>No Reajustar</v>
      </c>
      <c r="M131"/>
      <c r="N131"/>
    </row>
    <row r="132" spans="1:14" x14ac:dyDescent="0.3">
      <c r="A132" s="1" t="s">
        <v>91</v>
      </c>
      <c r="B132" s="1" t="s">
        <v>230</v>
      </c>
      <c r="C132" s="13">
        <v>12100</v>
      </c>
      <c r="D132" s="5">
        <v>30402</v>
      </c>
      <c r="E132" s="3" t="str">
        <f>TEXT(D132,"mmmm")</f>
        <v>March</v>
      </c>
      <c r="F132" s="5">
        <f ca="1">YEARFRAC(TODAY(),D132)</f>
        <v>42.4</v>
      </c>
      <c r="G132" s="1" t="s">
        <v>3</v>
      </c>
      <c r="H132" s="1" t="s">
        <v>12</v>
      </c>
      <c r="I132" s="1" t="s">
        <v>9</v>
      </c>
      <c r="J132" t="str">
        <f>IF(C132&gt;12000,"Reajustar","No Reajustar")</f>
        <v>Reajustar</v>
      </c>
      <c r="M132"/>
      <c r="N132"/>
    </row>
    <row r="133" spans="1:14" x14ac:dyDescent="0.3">
      <c r="A133" s="1" t="s">
        <v>90</v>
      </c>
      <c r="B133" s="1" t="s">
        <v>220</v>
      </c>
      <c r="C133" s="13">
        <v>4840</v>
      </c>
      <c r="D133" s="5">
        <v>30358</v>
      </c>
      <c r="E133" s="3" t="str">
        <f>TEXT(D133,"mmmm")</f>
        <v>February</v>
      </c>
      <c r="F133" s="5">
        <f ca="1">YEARFRAC(TODAY(),D133)</f>
        <v>42.527777777777779</v>
      </c>
      <c r="G133" s="1" t="s">
        <v>3</v>
      </c>
      <c r="H133" s="1" t="s">
        <v>12</v>
      </c>
      <c r="I133" s="1" t="s">
        <v>10</v>
      </c>
      <c r="J133" t="str">
        <f>IF(C133&gt;12000,"Reajustar","No Reajustar")</f>
        <v>No Reajustar</v>
      </c>
      <c r="M133"/>
      <c r="N133"/>
    </row>
    <row r="134" spans="1:14" x14ac:dyDescent="0.3">
      <c r="A134" s="1" t="s">
        <v>89</v>
      </c>
      <c r="B134" s="1" t="s">
        <v>221</v>
      </c>
      <c r="C134" s="13">
        <v>12144</v>
      </c>
      <c r="D134" s="5">
        <v>30351</v>
      </c>
      <c r="E134" s="3" t="str">
        <f>TEXT(D134,"mmmm")</f>
        <v>February</v>
      </c>
      <c r="F134" s="5">
        <f ca="1">YEARFRAC(TODAY(),D134)</f>
        <v>42.547222222222224</v>
      </c>
      <c r="G134" s="1" t="s">
        <v>8</v>
      </c>
      <c r="H134" s="1" t="s">
        <v>4</v>
      </c>
      <c r="I134" s="1" t="s">
        <v>9</v>
      </c>
      <c r="J134" t="str">
        <f>IF(C134&gt;12000,"Reajustar","No Reajustar")</f>
        <v>Reajustar</v>
      </c>
      <c r="M134"/>
      <c r="N134"/>
    </row>
    <row r="135" spans="1:14" x14ac:dyDescent="0.3">
      <c r="A135" s="1" t="s">
        <v>88</v>
      </c>
      <c r="B135" s="1" t="s">
        <v>220</v>
      </c>
      <c r="C135" s="13">
        <v>4400</v>
      </c>
      <c r="D135" s="5">
        <v>30276</v>
      </c>
      <c r="E135" s="3" t="str">
        <f>TEXT(D135,"mmmm")</f>
        <v>November</v>
      </c>
      <c r="F135" s="5">
        <f ca="1">YEARFRAC(TODAY(),D135)</f>
        <v>42.75</v>
      </c>
      <c r="G135" s="1" t="s">
        <v>3</v>
      </c>
      <c r="H135" s="1" t="s">
        <v>12</v>
      </c>
      <c r="I135" s="1" t="s">
        <v>9</v>
      </c>
      <c r="J135" t="str">
        <f>IF(C135&gt;12000,"Reajustar","No Reajustar")</f>
        <v>No Reajustar</v>
      </c>
      <c r="M135"/>
      <c r="N135"/>
    </row>
    <row r="136" spans="1:14" x14ac:dyDescent="0.3">
      <c r="A136" s="1" t="s">
        <v>87</v>
      </c>
      <c r="B136" s="1" t="s">
        <v>220</v>
      </c>
      <c r="C136" s="13">
        <v>3080</v>
      </c>
      <c r="D136" s="5">
        <v>30234</v>
      </c>
      <c r="E136" s="3" t="str">
        <f>TEXT(D136,"mmmm")</f>
        <v>October</v>
      </c>
      <c r="F136" s="5">
        <f ca="1">YEARFRAC(TODAY(),D136)</f>
        <v>42.863888888888887</v>
      </c>
      <c r="G136" s="1" t="s">
        <v>8</v>
      </c>
      <c r="H136" s="1" t="s">
        <v>12</v>
      </c>
      <c r="I136" s="1" t="s">
        <v>9</v>
      </c>
      <c r="J136" t="str">
        <f>IF(C136&gt;12000,"Reajustar","No Reajustar")</f>
        <v>No Reajustar</v>
      </c>
      <c r="M136"/>
      <c r="N136"/>
    </row>
    <row r="137" spans="1:14" x14ac:dyDescent="0.3">
      <c r="A137" s="1" t="s">
        <v>86</v>
      </c>
      <c r="B137" s="1" t="s">
        <v>225</v>
      </c>
      <c r="C137" s="13">
        <v>5720</v>
      </c>
      <c r="D137" s="5">
        <v>30181</v>
      </c>
      <c r="E137" s="3" t="str">
        <f>TEXT(D137,"mmmm")</f>
        <v>August</v>
      </c>
      <c r="F137" s="5">
        <f ca="1">YEARFRAC(TODAY(),D137)</f>
        <v>43.008333333333333</v>
      </c>
      <c r="G137" s="1" t="s">
        <v>3</v>
      </c>
      <c r="H137" s="1" t="s">
        <v>12</v>
      </c>
      <c r="I137" s="1" t="s">
        <v>9</v>
      </c>
      <c r="J137" t="str">
        <f>IF(C137&gt;12000,"Reajustar","No Reajustar")</f>
        <v>No Reajustar</v>
      </c>
      <c r="M137"/>
      <c r="N137"/>
    </row>
    <row r="138" spans="1:14" x14ac:dyDescent="0.3">
      <c r="A138" s="1" t="s">
        <v>85</v>
      </c>
      <c r="B138" s="1" t="s">
        <v>220</v>
      </c>
      <c r="C138" s="13">
        <v>3300</v>
      </c>
      <c r="D138" s="5">
        <v>30171</v>
      </c>
      <c r="E138" s="3" t="str">
        <f>TEXT(D138,"mmmm")</f>
        <v>August</v>
      </c>
      <c r="F138" s="5">
        <f ca="1">YEARFRAC(TODAY(),D138)</f>
        <v>43.036111111111111</v>
      </c>
      <c r="G138" s="1" t="s">
        <v>8</v>
      </c>
      <c r="H138" s="1" t="s">
        <v>12</v>
      </c>
      <c r="I138" s="1" t="s">
        <v>9</v>
      </c>
      <c r="J138" t="str">
        <f>IF(C138&gt;12000,"Reajustar","No Reajustar")</f>
        <v>No Reajustar</v>
      </c>
      <c r="M138"/>
      <c r="N138"/>
    </row>
    <row r="139" spans="1:14" x14ac:dyDescent="0.3">
      <c r="A139" s="1" t="s">
        <v>84</v>
      </c>
      <c r="B139" s="1" t="s">
        <v>220</v>
      </c>
      <c r="C139" s="13">
        <v>4620</v>
      </c>
      <c r="D139" s="5">
        <v>30166</v>
      </c>
      <c r="E139" s="3" t="str">
        <f>TEXT(D139,"mmmm")</f>
        <v>August</v>
      </c>
      <c r="F139" s="5">
        <f ca="1">YEARFRAC(TODAY(),D139)</f>
        <v>43.05</v>
      </c>
      <c r="G139" s="1" t="s">
        <v>3</v>
      </c>
      <c r="H139" s="1" t="s">
        <v>12</v>
      </c>
      <c r="I139" s="1" t="s">
        <v>9</v>
      </c>
      <c r="J139" t="str">
        <f>IF(C139&gt;12000,"Reajustar","No Reajustar")</f>
        <v>No Reajustar</v>
      </c>
      <c r="M139"/>
      <c r="N139"/>
    </row>
    <row r="140" spans="1:14" x14ac:dyDescent="0.3">
      <c r="A140" s="1" t="s">
        <v>83</v>
      </c>
      <c r="B140" s="1" t="s">
        <v>220</v>
      </c>
      <c r="C140" s="13">
        <v>5060</v>
      </c>
      <c r="D140" s="5">
        <v>30092</v>
      </c>
      <c r="E140" s="3" t="str">
        <f>TEXT(D140,"mmmm")</f>
        <v>May</v>
      </c>
      <c r="F140" s="5">
        <f ca="1">YEARFRAC(TODAY(),D140)</f>
        <v>43.25</v>
      </c>
      <c r="G140" s="1" t="s">
        <v>8</v>
      </c>
      <c r="H140" s="1" t="s">
        <v>12</v>
      </c>
      <c r="I140" s="1" t="s">
        <v>14</v>
      </c>
      <c r="J140" t="str">
        <f>IF(C140&gt;12000,"Reajustar","No Reajustar")</f>
        <v>No Reajustar</v>
      </c>
      <c r="M140"/>
      <c r="N140"/>
    </row>
    <row r="141" spans="1:14" x14ac:dyDescent="0.3">
      <c r="A141" s="1" t="s">
        <v>82</v>
      </c>
      <c r="B141" s="1" t="s">
        <v>220</v>
      </c>
      <c r="C141" s="13">
        <v>3465</v>
      </c>
      <c r="D141" s="5">
        <v>30040</v>
      </c>
      <c r="E141" s="3" t="str">
        <f>TEXT(D141,"mmmm")</f>
        <v>March</v>
      </c>
      <c r="F141" s="5">
        <f ca="1">YEARFRAC(TODAY(),D141)</f>
        <v>43.391666666666666</v>
      </c>
      <c r="G141" s="1" t="s">
        <v>3</v>
      </c>
      <c r="H141" s="1" t="s">
        <v>12</v>
      </c>
      <c r="I141" s="1" t="s">
        <v>9</v>
      </c>
      <c r="J141" t="str">
        <f>IF(C141&gt;12000,"Reajustar","No Reajustar")</f>
        <v>No Reajustar</v>
      </c>
      <c r="M141"/>
      <c r="N141"/>
    </row>
    <row r="142" spans="1:14" x14ac:dyDescent="0.3">
      <c r="A142" s="1" t="s">
        <v>81</v>
      </c>
      <c r="B142" s="1" t="s">
        <v>220</v>
      </c>
      <c r="C142" s="13">
        <v>5280</v>
      </c>
      <c r="D142" s="5">
        <v>30032</v>
      </c>
      <c r="E142" s="3" t="str">
        <f>TEXT(D142,"mmmm")</f>
        <v>March</v>
      </c>
      <c r="F142" s="5">
        <f ca="1">YEARFRAC(TODAY(),D142)</f>
        <v>43.413888888888891</v>
      </c>
      <c r="G142" s="1" t="s">
        <v>3</v>
      </c>
      <c r="H142" s="1" t="s">
        <v>12</v>
      </c>
      <c r="I142" s="1" t="s">
        <v>9</v>
      </c>
      <c r="J142" t="str">
        <f>IF(C142&gt;12000,"Reajustar","No Reajustar")</f>
        <v>No Reajustar</v>
      </c>
      <c r="M142"/>
      <c r="N142"/>
    </row>
    <row r="143" spans="1:14" x14ac:dyDescent="0.3">
      <c r="A143" s="1" t="s">
        <v>80</v>
      </c>
      <c r="B143" s="1" t="s">
        <v>220</v>
      </c>
      <c r="C143" s="13">
        <v>3520</v>
      </c>
      <c r="D143" s="5">
        <v>29901</v>
      </c>
      <c r="E143" s="3" t="str">
        <f>TEXT(D143,"mmmm")</f>
        <v>November</v>
      </c>
      <c r="F143" s="5">
        <f ca="1">YEARFRAC(TODAY(),D143)</f>
        <v>43.777777777777779</v>
      </c>
      <c r="G143" s="1" t="s">
        <v>3</v>
      </c>
      <c r="H143" s="1" t="s">
        <v>12</v>
      </c>
      <c r="I143" s="1" t="s">
        <v>14</v>
      </c>
      <c r="J143" t="str">
        <f>IF(C143&gt;12000,"Reajustar","No Reajustar")</f>
        <v>No Reajustar</v>
      </c>
      <c r="M143"/>
      <c r="N143"/>
    </row>
    <row r="144" spans="1:14" x14ac:dyDescent="0.3">
      <c r="A144" s="1" t="s">
        <v>79</v>
      </c>
      <c r="B144" s="1" t="s">
        <v>225</v>
      </c>
      <c r="C144" s="13">
        <v>4840</v>
      </c>
      <c r="D144" s="5">
        <v>29860</v>
      </c>
      <c r="E144" s="3" t="str">
        <f>TEXT(D144,"mmmm")</f>
        <v>October</v>
      </c>
      <c r="F144" s="5">
        <f ca="1">YEARFRAC(TODAY(),D144)</f>
        <v>43.888888888888886</v>
      </c>
      <c r="G144" s="1" t="s">
        <v>8</v>
      </c>
      <c r="H144" s="1" t="s">
        <v>12</v>
      </c>
      <c r="I144" s="1" t="s">
        <v>9</v>
      </c>
      <c r="J144" t="str">
        <f>IF(C144&gt;12000,"Reajustar","No Reajustar")</f>
        <v>No Reajustar</v>
      </c>
      <c r="M144"/>
      <c r="N144"/>
    </row>
    <row r="145" spans="1:14" x14ac:dyDescent="0.3">
      <c r="A145" s="1" t="s">
        <v>78</v>
      </c>
      <c r="B145" s="1" t="s">
        <v>220</v>
      </c>
      <c r="C145" s="13">
        <v>4400</v>
      </c>
      <c r="D145" s="5">
        <v>29850</v>
      </c>
      <c r="E145" s="3" t="str">
        <f>TEXT(D145,"mmmm")</f>
        <v>September</v>
      </c>
      <c r="F145" s="5">
        <f ca="1">YEARFRAC(TODAY(),D145)</f>
        <v>43.916666666666664</v>
      </c>
      <c r="G145" s="1" t="s">
        <v>8</v>
      </c>
      <c r="H145" s="1" t="s">
        <v>12</v>
      </c>
      <c r="I145" s="1" t="s">
        <v>9</v>
      </c>
      <c r="J145" t="str">
        <f>IF(C145&gt;12000,"Reajustar","No Reajustar")</f>
        <v>No Reajustar</v>
      </c>
      <c r="M145"/>
      <c r="N145"/>
    </row>
    <row r="146" spans="1:14" x14ac:dyDescent="0.3">
      <c r="A146" s="1" t="s">
        <v>77</v>
      </c>
      <c r="B146" s="1" t="s">
        <v>225</v>
      </c>
      <c r="C146" s="13">
        <v>5060</v>
      </c>
      <c r="D146" s="5">
        <v>29822</v>
      </c>
      <c r="E146" s="3" t="str">
        <f>TEXT(D146,"mmmm")</f>
        <v>August</v>
      </c>
      <c r="F146" s="5">
        <f ca="1">YEARFRAC(TODAY(),D146)</f>
        <v>43.991666666666667</v>
      </c>
      <c r="G146" s="1" t="s">
        <v>3</v>
      </c>
      <c r="H146" s="1" t="s">
        <v>12</v>
      </c>
      <c r="I146" s="1" t="s">
        <v>9</v>
      </c>
      <c r="J146" t="str">
        <f>IF(C146&gt;12000,"Reajustar","No Reajustar")</f>
        <v>No Reajustar</v>
      </c>
      <c r="M146"/>
      <c r="N146"/>
    </row>
    <row r="147" spans="1:14" x14ac:dyDescent="0.3">
      <c r="A147" s="1" t="s">
        <v>76</v>
      </c>
      <c r="B147" s="1" t="s">
        <v>225</v>
      </c>
      <c r="C147" s="13">
        <v>5720</v>
      </c>
      <c r="D147" s="5">
        <v>29656</v>
      </c>
      <c r="E147" s="3" t="str">
        <f>TEXT(D147,"mmmm")</f>
        <v>March</v>
      </c>
      <c r="F147" s="5">
        <f ca="1">YEARFRAC(TODAY(),D147)</f>
        <v>44.444444444444443</v>
      </c>
      <c r="G147" s="1" t="s">
        <v>8</v>
      </c>
      <c r="H147" s="1" t="s">
        <v>12</v>
      </c>
      <c r="I147" s="1" t="s">
        <v>9</v>
      </c>
      <c r="J147" t="str">
        <f>IF(C147&gt;12000,"Reajustar","No Reajustar")</f>
        <v>No Reajustar</v>
      </c>
      <c r="M147"/>
      <c r="N147"/>
    </row>
    <row r="148" spans="1:14" x14ac:dyDescent="0.3">
      <c r="A148" s="1" t="s">
        <v>75</v>
      </c>
      <c r="B148" s="1" t="s">
        <v>220</v>
      </c>
      <c r="C148" s="13">
        <v>4180</v>
      </c>
      <c r="D148" s="5">
        <v>29603</v>
      </c>
      <c r="E148" s="3" t="str">
        <f>TEXT(D148,"mmmm")</f>
        <v>January</v>
      </c>
      <c r="F148" s="5">
        <f ca="1">YEARFRAC(TODAY(),D148)</f>
        <v>44.594444444444441</v>
      </c>
      <c r="G148" s="1" t="s">
        <v>8</v>
      </c>
      <c r="H148" s="1" t="s">
        <v>12</v>
      </c>
      <c r="I148" s="1" t="s">
        <v>9</v>
      </c>
      <c r="J148" t="str">
        <f>IF(C148&gt;12000,"Reajustar","No Reajustar")</f>
        <v>No Reajustar</v>
      </c>
      <c r="M148"/>
      <c r="N148"/>
    </row>
    <row r="149" spans="1:14" x14ac:dyDescent="0.3">
      <c r="A149" s="1" t="s">
        <v>74</v>
      </c>
      <c r="B149" s="1" t="s">
        <v>230</v>
      </c>
      <c r="C149" s="13">
        <v>11660</v>
      </c>
      <c r="D149" s="5">
        <v>29570</v>
      </c>
      <c r="E149" s="3" t="str">
        <f>TEXT(D149,"mmmm")</f>
        <v>December</v>
      </c>
      <c r="F149" s="5">
        <f ca="1">YEARFRAC(TODAY(),D149)</f>
        <v>44.68333333333333</v>
      </c>
      <c r="G149" s="1" t="s">
        <v>8</v>
      </c>
      <c r="H149" s="1" t="s">
        <v>12</v>
      </c>
      <c r="I149" s="1" t="s">
        <v>10</v>
      </c>
      <c r="J149" t="str">
        <f>IF(C149&gt;12000,"Reajustar","No Reajustar")</f>
        <v>No Reajustar</v>
      </c>
      <c r="M149"/>
      <c r="N149"/>
    </row>
    <row r="150" spans="1:14" x14ac:dyDescent="0.3">
      <c r="A150" s="1" t="s">
        <v>73</v>
      </c>
      <c r="B150" s="1" t="s">
        <v>220</v>
      </c>
      <c r="C150" s="13">
        <v>4400</v>
      </c>
      <c r="D150" s="5">
        <v>29514</v>
      </c>
      <c r="E150" s="3" t="str">
        <f>TEXT(D150,"mmmm")</f>
        <v>October</v>
      </c>
      <c r="F150" s="5">
        <f ca="1">YEARFRAC(TODAY(),D150)</f>
        <v>44.836111111111109</v>
      </c>
      <c r="G150" s="1" t="s">
        <v>3</v>
      </c>
      <c r="H150" s="1" t="s">
        <v>12</v>
      </c>
      <c r="I150" s="1" t="s">
        <v>9</v>
      </c>
      <c r="J150" t="str">
        <f>IF(C150&gt;12000,"Reajustar","No Reajustar")</f>
        <v>No Reajustar</v>
      </c>
      <c r="M150"/>
      <c r="N150"/>
    </row>
    <row r="151" spans="1:14" x14ac:dyDescent="0.3">
      <c r="A151" s="1" t="s">
        <v>72</v>
      </c>
      <c r="B151" s="1" t="s">
        <v>220</v>
      </c>
      <c r="C151" s="13">
        <v>3344</v>
      </c>
      <c r="D151" s="5">
        <v>29495</v>
      </c>
      <c r="E151" s="3" t="str">
        <f>TEXT(D151,"mmmm")</f>
        <v>October</v>
      </c>
      <c r="F151" s="5">
        <f ca="1">YEARFRAC(TODAY(),D151)</f>
        <v>44.888888888888886</v>
      </c>
      <c r="G151" s="1" t="s">
        <v>8</v>
      </c>
      <c r="H151" s="1" t="s">
        <v>12</v>
      </c>
      <c r="I151" s="1" t="s">
        <v>9</v>
      </c>
      <c r="J151" t="str">
        <f>IF(C151&gt;12000,"Reajustar","No Reajustar")</f>
        <v>No Reajustar</v>
      </c>
      <c r="M151"/>
      <c r="N151"/>
    </row>
    <row r="152" spans="1:14" x14ac:dyDescent="0.3">
      <c r="A152" s="1" t="s">
        <v>71</v>
      </c>
      <c r="B152" s="1" t="s">
        <v>230</v>
      </c>
      <c r="C152" s="13">
        <v>11440</v>
      </c>
      <c r="D152" s="5">
        <v>29492</v>
      </c>
      <c r="E152" s="3" t="str">
        <f>TEXT(D152,"mmmm")</f>
        <v>September</v>
      </c>
      <c r="F152" s="5">
        <f ca="1">YEARFRAC(TODAY(),D152)</f>
        <v>44.897222222222226</v>
      </c>
      <c r="G152" s="1" t="s">
        <v>3</v>
      </c>
      <c r="H152" s="1" t="s">
        <v>12</v>
      </c>
      <c r="I152" s="1" t="s">
        <v>9</v>
      </c>
      <c r="J152" t="str">
        <f>IF(C152&gt;12000,"Reajustar","No Reajustar")</f>
        <v>No Reajustar</v>
      </c>
      <c r="M152"/>
      <c r="N152"/>
    </row>
    <row r="153" spans="1:14" x14ac:dyDescent="0.3">
      <c r="A153" s="1" t="s">
        <v>70</v>
      </c>
      <c r="B153" s="1" t="s">
        <v>224</v>
      </c>
      <c r="C153" s="13">
        <v>7500</v>
      </c>
      <c r="D153" s="5">
        <v>29407</v>
      </c>
      <c r="E153" s="3" t="str">
        <f>TEXT(D153,"mmmm")</f>
        <v>July</v>
      </c>
      <c r="F153" s="5">
        <f ca="1">YEARFRAC(TODAY(),D153)</f>
        <v>45.12777777777778</v>
      </c>
      <c r="G153" s="1" t="s">
        <v>3</v>
      </c>
      <c r="H153" s="1" t="s">
        <v>5</v>
      </c>
      <c r="I153" s="1" t="s">
        <v>9</v>
      </c>
      <c r="J153" t="str">
        <f>IF(C153&gt;12000,"Reajustar","No Reajustar")</f>
        <v>No Reajustar</v>
      </c>
      <c r="M153"/>
      <c r="N153"/>
    </row>
    <row r="154" spans="1:14" x14ac:dyDescent="0.3">
      <c r="A154" s="1" t="s">
        <v>69</v>
      </c>
      <c r="B154" s="1" t="s">
        <v>223</v>
      </c>
      <c r="C154" s="13">
        <v>5500</v>
      </c>
      <c r="D154" s="5">
        <v>29261</v>
      </c>
      <c r="E154" s="3" t="str">
        <f>TEXT(D154,"mmmm")</f>
        <v>February</v>
      </c>
      <c r="F154" s="5">
        <f ca="1">YEARFRAC(TODAY(),D154)</f>
        <v>45.530555555555559</v>
      </c>
      <c r="G154" s="1" t="s">
        <v>8</v>
      </c>
      <c r="H154" s="1" t="s">
        <v>5</v>
      </c>
      <c r="I154" s="1" t="s">
        <v>10</v>
      </c>
      <c r="J154" t="str">
        <f>IF(C154&gt;12000,"Reajustar","No Reajustar")</f>
        <v>No Reajustar</v>
      </c>
      <c r="M154"/>
      <c r="N154"/>
    </row>
    <row r="155" spans="1:14" x14ac:dyDescent="0.3">
      <c r="A155" s="1" t="s">
        <v>68</v>
      </c>
      <c r="B155" s="1" t="s">
        <v>220</v>
      </c>
      <c r="C155" s="13">
        <v>5280</v>
      </c>
      <c r="D155" s="5">
        <v>29107</v>
      </c>
      <c r="E155" s="3" t="str">
        <f>TEXT(D155,"mmmm")</f>
        <v>September</v>
      </c>
      <c r="F155" s="5">
        <f ca="1">YEARFRAC(TODAY(),D155)</f>
        <v>45.95</v>
      </c>
      <c r="G155" s="1" t="s">
        <v>3</v>
      </c>
      <c r="H155" s="1" t="s">
        <v>12</v>
      </c>
      <c r="I155" s="1" t="s">
        <v>9</v>
      </c>
      <c r="J155" t="str">
        <f>IF(C155&gt;12000,"Reajustar","No Reajustar")</f>
        <v>No Reajustar</v>
      </c>
      <c r="M155"/>
      <c r="N155"/>
    </row>
    <row r="156" spans="1:14" x14ac:dyDescent="0.3">
      <c r="A156" s="1" t="s">
        <v>67</v>
      </c>
      <c r="B156" s="1" t="s">
        <v>224</v>
      </c>
      <c r="C156" s="13">
        <v>8600</v>
      </c>
      <c r="D156" s="5">
        <v>29102</v>
      </c>
      <c r="E156" s="3" t="str">
        <f>TEXT(D156,"mmmm")</f>
        <v>September</v>
      </c>
      <c r="F156" s="5">
        <f ca="1">YEARFRAC(TODAY(),D156)</f>
        <v>45.963888888888889</v>
      </c>
      <c r="G156" s="1" t="s">
        <v>3</v>
      </c>
      <c r="H156" s="1" t="s">
        <v>5</v>
      </c>
      <c r="I156" s="1" t="s">
        <v>10</v>
      </c>
      <c r="J156" t="str">
        <f>IF(C156&gt;12000,"Reajustar","No Reajustar")</f>
        <v>No Reajustar</v>
      </c>
      <c r="M156"/>
      <c r="N156"/>
    </row>
    <row r="157" spans="1:14" x14ac:dyDescent="0.3">
      <c r="A157" s="1" t="s">
        <v>66</v>
      </c>
      <c r="B157" s="1" t="s">
        <v>220</v>
      </c>
      <c r="C157" s="13">
        <v>5060</v>
      </c>
      <c r="D157" s="5">
        <v>29046</v>
      </c>
      <c r="E157" s="3" t="str">
        <f>TEXT(D157,"mmmm")</f>
        <v>July</v>
      </c>
      <c r="F157" s="5">
        <f ca="1">YEARFRAC(TODAY(),D157)</f>
        <v>46.113888888888887</v>
      </c>
      <c r="G157" s="1" t="s">
        <v>3</v>
      </c>
      <c r="H157" s="1" t="s">
        <v>12</v>
      </c>
      <c r="I157" s="1" t="s">
        <v>9</v>
      </c>
      <c r="J157" t="str">
        <f>IF(C157&gt;12000,"Reajustar","No Reajustar")</f>
        <v>No Reajustar</v>
      </c>
      <c r="M157"/>
      <c r="N157"/>
    </row>
    <row r="158" spans="1:14" x14ac:dyDescent="0.3">
      <c r="A158" s="1" t="s">
        <v>65</v>
      </c>
      <c r="B158" s="1" t="s">
        <v>220</v>
      </c>
      <c r="C158" s="13">
        <v>4675</v>
      </c>
      <c r="D158" s="5">
        <v>29005</v>
      </c>
      <c r="E158" s="3" t="str">
        <f>TEXT(D158,"mmmm")</f>
        <v>May</v>
      </c>
      <c r="F158" s="5">
        <f ca="1">YEARFRAC(TODAY(),D158)</f>
        <v>46.225000000000001</v>
      </c>
      <c r="G158" s="1" t="s">
        <v>8</v>
      </c>
      <c r="H158" s="1" t="s">
        <v>12</v>
      </c>
      <c r="I158" s="1" t="s">
        <v>9</v>
      </c>
      <c r="J158" t="str">
        <f>IF(C158&gt;12000,"Reajustar","No Reajustar")</f>
        <v>No Reajustar</v>
      </c>
      <c r="M158"/>
      <c r="N158"/>
    </row>
    <row r="159" spans="1:14" x14ac:dyDescent="0.3">
      <c r="A159" s="1" t="s">
        <v>64</v>
      </c>
      <c r="B159" s="1" t="s">
        <v>220</v>
      </c>
      <c r="C159" s="13">
        <v>3740</v>
      </c>
      <c r="D159" s="5">
        <v>28986</v>
      </c>
      <c r="E159" s="3" t="str">
        <f>TEXT(D159,"mmmm")</f>
        <v>May</v>
      </c>
      <c r="F159" s="5">
        <f ca="1">YEARFRAC(TODAY(),D159)</f>
        <v>46.277777777777779</v>
      </c>
      <c r="G159" s="1" t="s">
        <v>8</v>
      </c>
      <c r="H159" s="1" t="s">
        <v>12</v>
      </c>
      <c r="I159" s="1" t="s">
        <v>9</v>
      </c>
      <c r="J159" t="str">
        <f>IF(C159&gt;12000,"Reajustar","No Reajustar")</f>
        <v>No Reajustar</v>
      </c>
      <c r="M159"/>
      <c r="N159"/>
    </row>
    <row r="160" spans="1:14" x14ac:dyDescent="0.3">
      <c r="A160" s="1" t="s">
        <v>63</v>
      </c>
      <c r="B160" s="1" t="s">
        <v>220</v>
      </c>
      <c r="C160" s="13">
        <v>4400</v>
      </c>
      <c r="D160" s="5">
        <v>28890</v>
      </c>
      <c r="E160" s="3" t="str">
        <f>TEXT(D160,"mmmm")</f>
        <v>February</v>
      </c>
      <c r="F160" s="5">
        <f ca="1">YEARFRAC(TODAY(),D160)</f>
        <v>46.547222222222224</v>
      </c>
      <c r="G160" s="1" t="s">
        <v>3</v>
      </c>
      <c r="H160" s="1" t="s">
        <v>12</v>
      </c>
      <c r="I160" s="1" t="s">
        <v>14</v>
      </c>
      <c r="J160" t="str">
        <f>IF(C160&gt;12000,"Reajustar","No Reajustar")</f>
        <v>No Reajustar</v>
      </c>
      <c r="M160"/>
      <c r="N160"/>
    </row>
    <row r="161" spans="1:14" x14ac:dyDescent="0.3">
      <c r="A161" s="1" t="s">
        <v>62</v>
      </c>
      <c r="B161" s="1" t="s">
        <v>225</v>
      </c>
      <c r="C161" s="13">
        <v>6380</v>
      </c>
      <c r="D161" s="5">
        <v>28866</v>
      </c>
      <c r="E161" s="3" t="str">
        <f>TEXT(D161,"mmmm")</f>
        <v>January</v>
      </c>
      <c r="F161" s="5">
        <f ca="1">YEARFRAC(TODAY(),D161)</f>
        <v>46.611111111111114</v>
      </c>
      <c r="G161" s="1" t="s">
        <v>8</v>
      </c>
      <c r="H161" s="1" t="s">
        <v>12</v>
      </c>
      <c r="I161" s="1" t="s">
        <v>9</v>
      </c>
      <c r="J161" t="str">
        <f>IF(C161&gt;12000,"Reajustar","No Reajustar")</f>
        <v>No Reajustar</v>
      </c>
      <c r="M161"/>
      <c r="N161"/>
    </row>
    <row r="162" spans="1:14" x14ac:dyDescent="0.3">
      <c r="A162" s="1" t="s">
        <v>61</v>
      </c>
      <c r="B162" s="1" t="s">
        <v>229</v>
      </c>
      <c r="C162" s="13">
        <v>6048</v>
      </c>
      <c r="D162" s="5">
        <v>28826</v>
      </c>
      <c r="E162" s="3" t="str">
        <f>TEXT(D162,"mmmm")</f>
        <v>December</v>
      </c>
      <c r="F162" s="5">
        <f ca="1">YEARFRAC(TODAY(),D162)</f>
        <v>46.719444444444441</v>
      </c>
      <c r="G162" s="1" t="s">
        <v>3</v>
      </c>
      <c r="H162" s="1" t="s">
        <v>4</v>
      </c>
      <c r="I162" s="1" t="s">
        <v>9</v>
      </c>
      <c r="J162" t="str">
        <f>IF(C162&gt;12000,"Reajustar","No Reajustar")</f>
        <v>No Reajustar</v>
      </c>
      <c r="M162"/>
      <c r="N162"/>
    </row>
    <row r="163" spans="1:14" x14ac:dyDescent="0.3">
      <c r="A163" s="1" t="s">
        <v>60</v>
      </c>
      <c r="B163" s="1" t="s">
        <v>220</v>
      </c>
      <c r="C163" s="13">
        <v>4840</v>
      </c>
      <c r="D163" s="5">
        <v>28824</v>
      </c>
      <c r="E163" s="3" t="str">
        <f>TEXT(D163,"mmmm")</f>
        <v>November</v>
      </c>
      <c r="F163" s="5">
        <f ca="1">YEARFRAC(TODAY(),D163)</f>
        <v>46.725000000000001</v>
      </c>
      <c r="G163" s="1" t="s">
        <v>3</v>
      </c>
      <c r="H163" s="1" t="s">
        <v>12</v>
      </c>
      <c r="I163" s="1" t="s">
        <v>14</v>
      </c>
      <c r="J163" t="str">
        <f>IF(C163&gt;12000,"Reajustar","No Reajustar")</f>
        <v>No Reajustar</v>
      </c>
      <c r="M163"/>
      <c r="N163"/>
    </row>
    <row r="164" spans="1:14" x14ac:dyDescent="0.3">
      <c r="A164" s="1" t="s">
        <v>59</v>
      </c>
      <c r="B164" s="1" t="s">
        <v>230</v>
      </c>
      <c r="C164" s="13">
        <v>11220</v>
      </c>
      <c r="D164" s="5">
        <v>28821</v>
      </c>
      <c r="E164" s="3" t="str">
        <f>TEXT(D164,"mmmm")</f>
        <v>November</v>
      </c>
      <c r="F164" s="5">
        <f ca="1">YEARFRAC(TODAY(),D164)</f>
        <v>46.733333333333334</v>
      </c>
      <c r="G164" s="1" t="s">
        <v>8</v>
      </c>
      <c r="H164" s="1" t="s">
        <v>12</v>
      </c>
      <c r="I164" s="1" t="s">
        <v>9</v>
      </c>
      <c r="J164" t="str">
        <f>IF(C164&gt;12000,"Reajustar","No Reajustar")</f>
        <v>No Reajustar</v>
      </c>
      <c r="M164"/>
      <c r="N164"/>
    </row>
    <row r="165" spans="1:14" x14ac:dyDescent="0.3">
      <c r="A165" s="1" t="s">
        <v>58</v>
      </c>
      <c r="B165" s="1" t="s">
        <v>220</v>
      </c>
      <c r="C165" s="13">
        <v>3740</v>
      </c>
      <c r="D165" s="5">
        <v>28755</v>
      </c>
      <c r="E165" s="3" t="str">
        <f>TEXT(D165,"mmmm")</f>
        <v>September</v>
      </c>
      <c r="F165" s="5">
        <f ca="1">YEARFRAC(TODAY(),D165)</f>
        <v>46.913888888888891</v>
      </c>
      <c r="G165" s="1" t="s">
        <v>3</v>
      </c>
      <c r="H165" s="1" t="s">
        <v>12</v>
      </c>
      <c r="I165" s="1" t="s">
        <v>9</v>
      </c>
      <c r="J165" t="str">
        <f>IF(C165&gt;12000,"Reajustar","No Reajustar")</f>
        <v>No Reajustar</v>
      </c>
      <c r="M165"/>
      <c r="N165"/>
    </row>
    <row r="166" spans="1:14" x14ac:dyDescent="0.3">
      <c r="A166" s="1" t="s">
        <v>57</v>
      </c>
      <c r="B166" s="1" t="s">
        <v>234</v>
      </c>
      <c r="C166" s="13">
        <v>13640</v>
      </c>
      <c r="D166" s="5">
        <v>28613</v>
      </c>
      <c r="E166" s="3" t="str">
        <f>TEXT(D166,"mmmm")</f>
        <v>May</v>
      </c>
      <c r="F166" s="5">
        <f ca="1">YEARFRAC(TODAY(),D166)</f>
        <v>47.3</v>
      </c>
      <c r="G166" s="1" t="s">
        <v>8</v>
      </c>
      <c r="H166" s="1" t="s">
        <v>4</v>
      </c>
      <c r="I166" s="1" t="s">
        <v>9</v>
      </c>
      <c r="J166" t="str">
        <f>IF(C166&gt;12000,"Reajustar","No Reajustar")</f>
        <v>Reajustar</v>
      </c>
      <c r="M166"/>
      <c r="N166"/>
    </row>
    <row r="167" spans="1:14" x14ac:dyDescent="0.3">
      <c r="A167" s="1" t="s">
        <v>56</v>
      </c>
      <c r="B167" s="1" t="s">
        <v>236</v>
      </c>
      <c r="C167" s="13">
        <v>12100</v>
      </c>
      <c r="D167" s="5">
        <v>28449</v>
      </c>
      <c r="E167" s="3" t="str">
        <f>TEXT(D167,"mmmm")</f>
        <v>November</v>
      </c>
      <c r="F167" s="5">
        <f ca="1">YEARFRAC(TODAY(),D167)</f>
        <v>47.75277777777778</v>
      </c>
      <c r="G167" s="1" t="s">
        <v>8</v>
      </c>
      <c r="H167" s="1" t="s">
        <v>4</v>
      </c>
      <c r="I167" s="1" t="s">
        <v>9</v>
      </c>
      <c r="J167" t="str">
        <f>IF(C167&gt;12000,"Reajustar","No Reajustar")</f>
        <v>Reajustar</v>
      </c>
      <c r="M167"/>
      <c r="N167"/>
    </row>
    <row r="168" spans="1:14" x14ac:dyDescent="0.3">
      <c r="A168" s="1" t="s">
        <v>55</v>
      </c>
      <c r="B168" s="1" t="s">
        <v>220</v>
      </c>
      <c r="C168" s="13">
        <v>4400</v>
      </c>
      <c r="D168" s="5">
        <v>28437</v>
      </c>
      <c r="E168" s="3" t="str">
        <f>TEXT(D168,"mmmm")</f>
        <v>November</v>
      </c>
      <c r="F168" s="5">
        <f ca="1">YEARFRAC(TODAY(),D168)</f>
        <v>47.786111111111111</v>
      </c>
      <c r="G168" s="1" t="s">
        <v>8</v>
      </c>
      <c r="H168" s="1" t="s">
        <v>12</v>
      </c>
      <c r="I168" s="1" t="s">
        <v>9</v>
      </c>
      <c r="J168" t="str">
        <f>IF(C168&gt;12000,"Reajustar","No Reajustar")</f>
        <v>No Reajustar</v>
      </c>
      <c r="M168"/>
      <c r="N168"/>
    </row>
    <row r="169" spans="1:14" x14ac:dyDescent="0.3">
      <c r="A169" s="1" t="s">
        <v>54</v>
      </c>
      <c r="B169" s="1" t="s">
        <v>235</v>
      </c>
      <c r="C169" s="13">
        <v>11150</v>
      </c>
      <c r="D169" s="5">
        <v>28369</v>
      </c>
      <c r="E169" s="3" t="str">
        <f>TEXT(D169,"mmmm")</f>
        <v>September</v>
      </c>
      <c r="F169" s="5">
        <f ca="1">YEARFRAC(TODAY(),D169)</f>
        <v>47.972222222222221</v>
      </c>
      <c r="G169" s="1" t="s">
        <v>3</v>
      </c>
      <c r="H169" s="1" t="s">
        <v>4</v>
      </c>
      <c r="I169" s="1" t="s">
        <v>9</v>
      </c>
      <c r="J169" t="str">
        <f>IF(C169&gt;12000,"Reajustar","No Reajustar")</f>
        <v>No Reajustar</v>
      </c>
      <c r="M169"/>
      <c r="N169"/>
    </row>
    <row r="170" spans="1:14" x14ac:dyDescent="0.3">
      <c r="A170" s="1" t="s">
        <v>53</v>
      </c>
      <c r="B170" s="1" t="s">
        <v>220</v>
      </c>
      <c r="C170" s="13">
        <v>3520</v>
      </c>
      <c r="D170" s="5">
        <v>27749</v>
      </c>
      <c r="E170" s="3" t="str">
        <f>TEXT(D170,"mmmm")</f>
        <v>December</v>
      </c>
      <c r="F170" s="5">
        <f ca="1">YEARFRAC(TODAY(),D170)</f>
        <v>49.666666666666664</v>
      </c>
      <c r="G170" s="1" t="s">
        <v>8</v>
      </c>
      <c r="H170" s="1" t="s">
        <v>12</v>
      </c>
      <c r="I170" s="1" t="s">
        <v>9</v>
      </c>
      <c r="J170" t="str">
        <f>IF(C170&gt;12000,"Reajustar","No Reajustar")</f>
        <v>No Reajustar</v>
      </c>
      <c r="M170"/>
      <c r="N170"/>
    </row>
    <row r="171" spans="1:14" x14ac:dyDescent="0.3">
      <c r="A171" s="1" t="s">
        <v>52</v>
      </c>
      <c r="B171" s="1" t="s">
        <v>224</v>
      </c>
      <c r="C171" s="13">
        <v>8600</v>
      </c>
      <c r="D171" s="5">
        <v>27703</v>
      </c>
      <c r="E171" s="3" t="str">
        <f>TEXT(D171,"mmmm")</f>
        <v>November</v>
      </c>
      <c r="F171" s="5">
        <f ca="1">YEARFRAC(TODAY(),D171)</f>
        <v>49.794444444444444</v>
      </c>
      <c r="G171" s="1" t="s">
        <v>8</v>
      </c>
      <c r="H171" s="1" t="s">
        <v>5</v>
      </c>
      <c r="I171" s="1" t="s">
        <v>9</v>
      </c>
      <c r="J171" t="str">
        <f>IF(C171&gt;12000,"Reajustar","No Reajustar")</f>
        <v>No Reajustar</v>
      </c>
      <c r="M171"/>
      <c r="N171"/>
    </row>
    <row r="172" spans="1:14" x14ac:dyDescent="0.3">
      <c r="A172" s="1" t="s">
        <v>51</v>
      </c>
      <c r="B172" s="1" t="s">
        <v>220</v>
      </c>
      <c r="C172" s="13">
        <v>4840</v>
      </c>
      <c r="D172" s="5">
        <v>27699</v>
      </c>
      <c r="E172" s="3" t="str">
        <f>TEXT(D172,"mmmm")</f>
        <v>November</v>
      </c>
      <c r="F172" s="5">
        <f ca="1">YEARFRAC(TODAY(),D172)</f>
        <v>49.805555555555557</v>
      </c>
      <c r="G172" s="1" t="s">
        <v>8</v>
      </c>
      <c r="H172" s="1" t="s">
        <v>12</v>
      </c>
      <c r="I172" s="1" t="s">
        <v>9</v>
      </c>
      <c r="J172" t="str">
        <f>IF(C172&gt;12000,"Reajustar","No Reajustar")</f>
        <v>No Reajustar</v>
      </c>
      <c r="M172"/>
      <c r="N172"/>
    </row>
    <row r="173" spans="1:14" x14ac:dyDescent="0.3">
      <c r="A173" s="1" t="s">
        <v>50</v>
      </c>
      <c r="B173" s="1" t="s">
        <v>220</v>
      </c>
      <c r="C173" s="13">
        <v>4840</v>
      </c>
      <c r="D173" s="5">
        <v>27693</v>
      </c>
      <c r="E173" s="3" t="str">
        <f>TEXT(D173,"mmmm")</f>
        <v>October</v>
      </c>
      <c r="F173" s="5">
        <f ca="1">YEARFRAC(TODAY(),D173)</f>
        <v>49.819444444444443</v>
      </c>
      <c r="G173" s="1" t="s">
        <v>8</v>
      </c>
      <c r="H173" s="1" t="s">
        <v>12</v>
      </c>
      <c r="I173" s="1" t="s">
        <v>9</v>
      </c>
      <c r="J173" t="str">
        <f>IF(C173&gt;12000,"Reajustar","No Reajustar")</f>
        <v>No Reajustar</v>
      </c>
      <c r="M173"/>
      <c r="N173"/>
    </row>
    <row r="174" spans="1:14" x14ac:dyDescent="0.3">
      <c r="A174" s="1" t="s">
        <v>49</v>
      </c>
      <c r="B174" s="1" t="s">
        <v>234</v>
      </c>
      <c r="C174" s="13">
        <v>14080</v>
      </c>
      <c r="D174" s="5">
        <v>27643</v>
      </c>
      <c r="E174" s="3" t="str">
        <f>TEXT(D174,"mmmm")</f>
        <v>September</v>
      </c>
      <c r="F174" s="5">
        <f ca="1">YEARFRAC(TODAY(),D174)</f>
        <v>49.958333333333336</v>
      </c>
      <c r="G174" s="1" t="s">
        <v>8</v>
      </c>
      <c r="H174" s="1" t="s">
        <v>4</v>
      </c>
      <c r="I174" s="1" t="s">
        <v>14</v>
      </c>
      <c r="J174" t="str">
        <f>IF(C174&gt;12000,"Reajustar","No Reajustar")</f>
        <v>Reajustar</v>
      </c>
      <c r="M174"/>
      <c r="N174"/>
    </row>
    <row r="175" spans="1:14" x14ac:dyDescent="0.3">
      <c r="A175" s="1" t="s">
        <v>48</v>
      </c>
      <c r="B175" s="1" t="s">
        <v>233</v>
      </c>
      <c r="C175" s="13">
        <v>6644</v>
      </c>
      <c r="D175" s="5">
        <v>27607</v>
      </c>
      <c r="E175" s="3" t="str">
        <f>TEXT(D175,"mmmm")</f>
        <v>August</v>
      </c>
      <c r="F175" s="5">
        <f ca="1">YEARFRAC(TODAY(),D175)</f>
        <v>50.055555555555557</v>
      </c>
      <c r="G175" s="1" t="s">
        <v>3</v>
      </c>
      <c r="H175" s="1" t="s">
        <v>4</v>
      </c>
      <c r="I175" s="1" t="s">
        <v>9</v>
      </c>
      <c r="J175" t="str">
        <f>IF(C175&gt;12000,"Reajustar","No Reajustar")</f>
        <v>No Reajustar</v>
      </c>
      <c r="M175"/>
      <c r="N175"/>
    </row>
    <row r="176" spans="1:14" x14ac:dyDescent="0.3">
      <c r="A176" s="1" t="s">
        <v>47</v>
      </c>
      <c r="B176" s="1" t="s">
        <v>232</v>
      </c>
      <c r="C176" s="13">
        <v>10500</v>
      </c>
      <c r="D176" s="5">
        <v>27508</v>
      </c>
      <c r="E176" s="3" t="str">
        <f>TEXT(D176,"mmmm")</f>
        <v>April</v>
      </c>
      <c r="F176" s="5">
        <f ca="1">YEARFRAC(TODAY(),D176)</f>
        <v>50.325000000000003</v>
      </c>
      <c r="G176" s="1" t="s">
        <v>8</v>
      </c>
      <c r="H176" s="1" t="s">
        <v>4</v>
      </c>
      <c r="I176" s="1" t="s">
        <v>9</v>
      </c>
      <c r="J176" t="str">
        <f>IF(C176&gt;12000,"Reajustar","No Reajustar")</f>
        <v>No Reajustar</v>
      </c>
      <c r="M176"/>
      <c r="N176"/>
    </row>
    <row r="177" spans="1:14" x14ac:dyDescent="0.3">
      <c r="A177" s="1" t="s">
        <v>46</v>
      </c>
      <c r="B177" s="1" t="s">
        <v>225</v>
      </c>
      <c r="C177" s="13">
        <v>5500</v>
      </c>
      <c r="D177" s="5">
        <v>27507</v>
      </c>
      <c r="E177" s="3" t="str">
        <f>TEXT(D177,"mmmm")</f>
        <v>April</v>
      </c>
      <c r="F177" s="5">
        <f ca="1">YEARFRAC(TODAY(),D177)</f>
        <v>50.327777777777776</v>
      </c>
      <c r="G177" s="1" t="s">
        <v>8</v>
      </c>
      <c r="H177" s="1" t="s">
        <v>12</v>
      </c>
      <c r="I177" s="1" t="s">
        <v>14</v>
      </c>
      <c r="J177" t="str">
        <f>IF(C177&gt;12000,"Reajustar","No Reajustar")</f>
        <v>No Reajustar</v>
      </c>
      <c r="M177"/>
      <c r="N177"/>
    </row>
    <row r="178" spans="1:14" x14ac:dyDescent="0.3">
      <c r="A178" s="1" t="s">
        <v>45</v>
      </c>
      <c r="B178" s="1" t="s">
        <v>220</v>
      </c>
      <c r="C178" s="13">
        <v>4400</v>
      </c>
      <c r="D178" s="5">
        <v>27331</v>
      </c>
      <c r="E178" s="3" t="str">
        <f>TEXT(D178,"mmmm")</f>
        <v>October</v>
      </c>
      <c r="F178" s="5">
        <f ca="1">YEARFRAC(TODAY(),D178)</f>
        <v>50.81111111111111</v>
      </c>
      <c r="G178" s="1" t="s">
        <v>8</v>
      </c>
      <c r="H178" s="1" t="s">
        <v>12</v>
      </c>
      <c r="I178" s="1" t="s">
        <v>9</v>
      </c>
      <c r="J178" t="str">
        <f>IF(C178&gt;12000,"Reajustar","No Reajustar")</f>
        <v>No Reajustar</v>
      </c>
      <c r="M178"/>
      <c r="N178"/>
    </row>
    <row r="179" spans="1:14" x14ac:dyDescent="0.3">
      <c r="A179" s="1" t="s">
        <v>44</v>
      </c>
      <c r="B179" s="1" t="s">
        <v>220</v>
      </c>
      <c r="C179" s="13">
        <v>3520</v>
      </c>
      <c r="D179" s="5">
        <v>27300</v>
      </c>
      <c r="E179" s="3" t="str">
        <f>TEXT(D179,"mmmm")</f>
        <v>September</v>
      </c>
      <c r="F179" s="5">
        <f ca="1">YEARFRAC(TODAY(),D179)</f>
        <v>50.897222222222226</v>
      </c>
      <c r="G179" s="1" t="s">
        <v>8</v>
      </c>
      <c r="H179" s="1" t="s">
        <v>12</v>
      </c>
      <c r="I179" s="1" t="s">
        <v>14</v>
      </c>
      <c r="J179" t="str">
        <f>IF(C179&gt;12000,"Reajustar","No Reajustar")</f>
        <v>No Reajustar</v>
      </c>
      <c r="M179"/>
      <c r="N179"/>
    </row>
    <row r="180" spans="1:14" x14ac:dyDescent="0.3">
      <c r="A180" s="1" t="s">
        <v>43</v>
      </c>
      <c r="B180" s="1" t="s">
        <v>225</v>
      </c>
      <c r="C180" s="13">
        <v>5500</v>
      </c>
      <c r="D180" s="5">
        <v>27249</v>
      </c>
      <c r="E180" s="3" t="str">
        <f>TEXT(D180,"mmmm")</f>
        <v>August</v>
      </c>
      <c r="F180" s="5">
        <f ca="1">YEARFRAC(TODAY(),D180)</f>
        <v>51.036111111111111</v>
      </c>
      <c r="G180" s="1" t="s">
        <v>8</v>
      </c>
      <c r="H180" s="1" t="s">
        <v>12</v>
      </c>
      <c r="I180" s="1" t="s">
        <v>14</v>
      </c>
      <c r="J180" t="str">
        <f>IF(C180&gt;12000,"Reajustar","No Reajustar")</f>
        <v>No Reajustar</v>
      </c>
      <c r="M180"/>
      <c r="N180"/>
    </row>
    <row r="181" spans="1:14" x14ac:dyDescent="0.3">
      <c r="A181" s="1" t="s">
        <v>42</v>
      </c>
      <c r="B181" s="1" t="s">
        <v>231</v>
      </c>
      <c r="C181" s="13">
        <v>10802</v>
      </c>
      <c r="D181" s="5">
        <v>27118</v>
      </c>
      <c r="E181" s="3" t="str">
        <f>TEXT(D181,"mmmm")</f>
        <v>March</v>
      </c>
      <c r="F181" s="5">
        <f ca="1">YEARFRAC(TODAY(),D181)</f>
        <v>51.391666666666666</v>
      </c>
      <c r="G181" s="1" t="s">
        <v>3</v>
      </c>
      <c r="H181" s="1" t="s">
        <v>4</v>
      </c>
      <c r="I181" s="1" t="s">
        <v>9</v>
      </c>
      <c r="J181" t="str">
        <f>IF(C181&gt;12000,"Reajustar","No Reajustar")</f>
        <v>No Reajustar</v>
      </c>
      <c r="M181"/>
      <c r="N181"/>
    </row>
    <row r="182" spans="1:14" x14ac:dyDescent="0.3">
      <c r="A182" s="1" t="s">
        <v>41</v>
      </c>
      <c r="B182" s="1" t="s">
        <v>223</v>
      </c>
      <c r="C182" s="13">
        <v>4250</v>
      </c>
      <c r="D182" s="5">
        <v>27083</v>
      </c>
      <c r="E182" s="3" t="str">
        <f>TEXT(D182,"mmmm")</f>
        <v>February</v>
      </c>
      <c r="F182" s="5">
        <f ca="1">YEARFRAC(TODAY(),D182)</f>
        <v>51.494444444444447</v>
      </c>
      <c r="G182" s="1" t="s">
        <v>8</v>
      </c>
      <c r="H182" s="1" t="s">
        <v>5</v>
      </c>
      <c r="I182" s="1" t="s">
        <v>9</v>
      </c>
      <c r="J182" t="str">
        <f>IF(C182&gt;12000,"Reajustar","No Reajustar")</f>
        <v>No Reajustar</v>
      </c>
      <c r="M182"/>
      <c r="N182"/>
    </row>
    <row r="183" spans="1:14" x14ac:dyDescent="0.3">
      <c r="A183" s="1" t="s">
        <v>40</v>
      </c>
      <c r="B183" s="1" t="s">
        <v>230</v>
      </c>
      <c r="C183" s="13">
        <v>11990</v>
      </c>
      <c r="D183" s="5">
        <v>26946</v>
      </c>
      <c r="E183" s="3" t="str">
        <f>TEXT(D183,"mmmm")</f>
        <v>October</v>
      </c>
      <c r="F183" s="5">
        <f ca="1">YEARFRAC(TODAY(),D183)</f>
        <v>51.866666666666667</v>
      </c>
      <c r="G183" s="1" t="s">
        <v>8</v>
      </c>
      <c r="H183" s="1" t="s">
        <v>12</v>
      </c>
      <c r="I183" s="1" t="s">
        <v>9</v>
      </c>
      <c r="J183" t="str">
        <f>IF(C183&gt;12000,"Reajustar","No Reajustar")</f>
        <v>No Reajustar</v>
      </c>
      <c r="M183"/>
      <c r="N183"/>
    </row>
    <row r="184" spans="1:14" x14ac:dyDescent="0.3">
      <c r="A184" s="1" t="s">
        <v>39</v>
      </c>
      <c r="B184" s="1" t="s">
        <v>220</v>
      </c>
      <c r="C184" s="13">
        <v>3080</v>
      </c>
      <c r="D184" s="5">
        <v>26890</v>
      </c>
      <c r="E184" s="3" t="str">
        <f>TEXT(D184,"mmmm")</f>
        <v>August</v>
      </c>
      <c r="F184" s="5">
        <f ca="1">YEARFRAC(TODAY(),D184)</f>
        <v>52.019444444444446</v>
      </c>
      <c r="G184" s="1" t="s">
        <v>8</v>
      </c>
      <c r="H184" s="1" t="s">
        <v>12</v>
      </c>
      <c r="I184" s="1" t="s">
        <v>9</v>
      </c>
      <c r="J184" t="str">
        <f>IF(C184&gt;12000,"Reajustar","No Reajustar")</f>
        <v>No Reajustar</v>
      </c>
      <c r="M184"/>
      <c r="N184"/>
    </row>
    <row r="185" spans="1:14" x14ac:dyDescent="0.3">
      <c r="A185" s="1" t="s">
        <v>38</v>
      </c>
      <c r="B185" s="1" t="s">
        <v>220</v>
      </c>
      <c r="C185" s="13">
        <v>3520</v>
      </c>
      <c r="D185" s="5">
        <v>26864</v>
      </c>
      <c r="E185" s="3" t="str">
        <f>TEXT(D185,"mmmm")</f>
        <v>July</v>
      </c>
      <c r="F185" s="5">
        <f ca="1">YEARFRAC(TODAY(),D185)</f>
        <v>52.088888888888889</v>
      </c>
      <c r="G185" s="1" t="s">
        <v>3</v>
      </c>
      <c r="H185" s="1" t="s">
        <v>12</v>
      </c>
      <c r="I185" s="1" t="s">
        <v>10</v>
      </c>
      <c r="J185" t="str">
        <f>IF(C185&gt;12000,"Reajustar","No Reajustar")</f>
        <v>No Reajustar</v>
      </c>
      <c r="M185"/>
      <c r="N185"/>
    </row>
    <row r="186" spans="1:14" x14ac:dyDescent="0.3">
      <c r="A186" s="1" t="s">
        <v>37</v>
      </c>
      <c r="B186" s="1" t="s">
        <v>229</v>
      </c>
      <c r="C186" s="13">
        <v>6908</v>
      </c>
      <c r="D186" s="5">
        <v>26821</v>
      </c>
      <c r="E186" s="3" t="str">
        <f>TEXT(D186,"mmmm")</f>
        <v>June</v>
      </c>
      <c r="F186" s="5">
        <f ca="1">YEARFRAC(TODAY(),D186)</f>
        <v>52.208333333333336</v>
      </c>
      <c r="G186" s="1" t="s">
        <v>8</v>
      </c>
      <c r="H186" s="1" t="s">
        <v>4</v>
      </c>
      <c r="I186" s="1" t="s">
        <v>9</v>
      </c>
      <c r="J186" t="str">
        <f>IF(C186&gt;12000,"Reajustar","No Reajustar")</f>
        <v>No Reajustar</v>
      </c>
      <c r="M186"/>
      <c r="N186"/>
    </row>
    <row r="187" spans="1:14" x14ac:dyDescent="0.3">
      <c r="A187" s="1" t="s">
        <v>36</v>
      </c>
      <c r="B187" s="1" t="s">
        <v>220</v>
      </c>
      <c r="C187" s="13">
        <v>4400</v>
      </c>
      <c r="D187" s="5">
        <v>26820</v>
      </c>
      <c r="E187" s="3" t="str">
        <f>TEXT(D187,"mmmm")</f>
        <v>June</v>
      </c>
      <c r="F187" s="5">
        <f ca="1">YEARFRAC(TODAY(),D187)</f>
        <v>52.211111111111109</v>
      </c>
      <c r="G187" s="1" t="s">
        <v>8</v>
      </c>
      <c r="H187" s="1" t="s">
        <v>12</v>
      </c>
      <c r="I187" s="1" t="s">
        <v>10</v>
      </c>
      <c r="J187" t="str">
        <f>IF(C187&gt;12000,"Reajustar","No Reajustar")</f>
        <v>No Reajustar</v>
      </c>
      <c r="M187"/>
      <c r="N187"/>
    </row>
    <row r="188" spans="1:14" x14ac:dyDescent="0.3">
      <c r="A188" s="1" t="s">
        <v>35</v>
      </c>
      <c r="B188" s="1" t="s">
        <v>226</v>
      </c>
      <c r="C188" s="13">
        <v>11200</v>
      </c>
      <c r="D188" s="5">
        <v>26677</v>
      </c>
      <c r="E188" s="3" t="str">
        <f>TEXT(D188,"mmmm")</f>
        <v>January</v>
      </c>
      <c r="F188" s="5">
        <f ca="1">YEARFRAC(TODAY(),D188)</f>
        <v>52.605555555555554</v>
      </c>
      <c r="G188" s="1" t="s">
        <v>8</v>
      </c>
      <c r="H188" s="1" t="s">
        <v>5</v>
      </c>
      <c r="I188" s="1" t="s">
        <v>14</v>
      </c>
      <c r="J188" t="str">
        <f>IF(C188&gt;12000,"Reajustar","No Reajustar")</f>
        <v>No Reajustar</v>
      </c>
      <c r="M188"/>
      <c r="N188"/>
    </row>
    <row r="189" spans="1:14" x14ac:dyDescent="0.3">
      <c r="A189" s="1" t="s">
        <v>34</v>
      </c>
      <c r="B189" s="1" t="s">
        <v>220</v>
      </c>
      <c r="C189" s="13">
        <v>5280</v>
      </c>
      <c r="D189" s="5">
        <v>26423</v>
      </c>
      <c r="E189" s="3" t="str">
        <f>TEXT(D189,"mmmm")</f>
        <v>May</v>
      </c>
      <c r="F189" s="5">
        <f ca="1">YEARFRAC(TODAY(),D189)</f>
        <v>53.297222222222224</v>
      </c>
      <c r="G189" s="1" t="s">
        <v>8</v>
      </c>
      <c r="H189" s="1" t="s">
        <v>12</v>
      </c>
      <c r="I189" s="1" t="s">
        <v>9</v>
      </c>
      <c r="J189" t="str">
        <f>IF(C189&gt;12000,"Reajustar","No Reajustar")</f>
        <v>No Reajustar</v>
      </c>
      <c r="M189"/>
      <c r="N189"/>
    </row>
    <row r="190" spans="1:14" x14ac:dyDescent="0.3">
      <c r="A190" s="1" t="s">
        <v>33</v>
      </c>
      <c r="B190" s="1" t="s">
        <v>220</v>
      </c>
      <c r="C190" s="13">
        <v>4400</v>
      </c>
      <c r="D190" s="5">
        <v>26406</v>
      </c>
      <c r="E190" s="3" t="str">
        <f>TEXT(D190,"mmmm")</f>
        <v>April</v>
      </c>
      <c r="F190" s="5">
        <f ca="1">YEARFRAC(TODAY(),D190)</f>
        <v>53.344444444444441</v>
      </c>
      <c r="G190" s="1" t="s">
        <v>3</v>
      </c>
      <c r="H190" s="1" t="s">
        <v>12</v>
      </c>
      <c r="I190" s="1" t="s">
        <v>10</v>
      </c>
      <c r="J190" t="str">
        <f>IF(C190&gt;12000,"Reajustar","No Reajustar")</f>
        <v>No Reajustar</v>
      </c>
      <c r="M190"/>
      <c r="N190"/>
    </row>
    <row r="191" spans="1:14" x14ac:dyDescent="0.3">
      <c r="A191" s="1" t="s">
        <v>32</v>
      </c>
      <c r="B191" s="1" t="s">
        <v>220</v>
      </c>
      <c r="C191" s="13">
        <v>3300</v>
      </c>
      <c r="D191" s="5">
        <v>26362</v>
      </c>
      <c r="E191" s="3" t="str">
        <f>TEXT(D191,"mmmm")</f>
        <v>March</v>
      </c>
      <c r="F191" s="5">
        <f ca="1">YEARFRAC(TODAY(),D191)</f>
        <v>53.463888888888889</v>
      </c>
      <c r="G191" s="1" t="s">
        <v>8</v>
      </c>
      <c r="H191" s="1" t="s">
        <v>12</v>
      </c>
      <c r="I191" s="1" t="s">
        <v>14</v>
      </c>
      <c r="J191" t="str">
        <f>IF(C191&gt;12000,"Reajustar","No Reajustar")</f>
        <v>No Reajustar</v>
      </c>
      <c r="M191"/>
      <c r="N191"/>
    </row>
    <row r="192" spans="1:14" x14ac:dyDescent="0.3">
      <c r="A192" s="1" t="s">
        <v>31</v>
      </c>
      <c r="B192" s="1" t="s">
        <v>228</v>
      </c>
      <c r="C192" s="13">
        <v>5940</v>
      </c>
      <c r="D192" s="5">
        <v>26258</v>
      </c>
      <c r="E192" s="3" t="str">
        <f>TEXT(D192,"mmmm")</f>
        <v>November</v>
      </c>
      <c r="F192" s="5">
        <f ca="1">YEARFRAC(TODAY(),D192)</f>
        <v>53.75</v>
      </c>
      <c r="G192" s="1" t="s">
        <v>8</v>
      </c>
      <c r="H192" s="1" t="s">
        <v>4</v>
      </c>
      <c r="I192" s="1" t="s">
        <v>9</v>
      </c>
      <c r="J192" t="str">
        <f>IF(C192&gt;12000,"Reajustar","No Reajustar")</f>
        <v>No Reajustar</v>
      </c>
      <c r="M192"/>
      <c r="N192"/>
    </row>
    <row r="193" spans="1:14" x14ac:dyDescent="0.3">
      <c r="A193" s="1" t="s">
        <v>30</v>
      </c>
      <c r="B193" s="1" t="s">
        <v>225</v>
      </c>
      <c r="C193" s="13">
        <v>5940</v>
      </c>
      <c r="D193" s="5">
        <v>26039</v>
      </c>
      <c r="E193" s="3" t="str">
        <f>TEXT(D193,"mmmm")</f>
        <v>April</v>
      </c>
      <c r="F193" s="5">
        <f ca="1">YEARFRAC(TODAY(),D193)</f>
        <v>54.347222222222221</v>
      </c>
      <c r="G193" s="1" t="s">
        <v>3</v>
      </c>
      <c r="H193" s="1" t="s">
        <v>12</v>
      </c>
      <c r="I193" s="1" t="s">
        <v>14</v>
      </c>
      <c r="J193" t="str">
        <f>IF(C193&gt;12000,"Reajustar","No Reajustar")</f>
        <v>No Reajustar</v>
      </c>
      <c r="M193"/>
      <c r="N193"/>
    </row>
    <row r="194" spans="1:14" x14ac:dyDescent="0.3">
      <c r="A194" s="1" t="s">
        <v>29</v>
      </c>
      <c r="B194" s="1" t="s">
        <v>220</v>
      </c>
      <c r="C194" s="13">
        <v>4620</v>
      </c>
      <c r="D194" s="5">
        <v>26013</v>
      </c>
      <c r="E194" s="3" t="str">
        <f>TEXT(D194,"mmmm")</f>
        <v>March</v>
      </c>
      <c r="F194" s="5">
        <f ca="1">YEARFRAC(TODAY(),D194)</f>
        <v>54.416666666666664</v>
      </c>
      <c r="G194" s="1" t="s">
        <v>8</v>
      </c>
      <c r="H194" s="1" t="s">
        <v>12</v>
      </c>
      <c r="I194" s="1" t="s">
        <v>9</v>
      </c>
      <c r="J194" t="str">
        <f>IF(C194&gt;12000,"Reajustar","No Reajustar")</f>
        <v>No Reajustar</v>
      </c>
      <c r="M194"/>
      <c r="N194"/>
    </row>
    <row r="195" spans="1:14" x14ac:dyDescent="0.3">
      <c r="A195" s="1" t="s">
        <v>28</v>
      </c>
      <c r="B195" s="1" t="s">
        <v>227</v>
      </c>
      <c r="C195" s="13">
        <v>13200</v>
      </c>
      <c r="D195" s="5">
        <v>26008</v>
      </c>
      <c r="E195" s="3" t="str">
        <f>TEXT(D195,"mmmm")</f>
        <v>March</v>
      </c>
      <c r="F195" s="5">
        <f ca="1">YEARFRAC(TODAY(),D195)</f>
        <v>54.430555555555557</v>
      </c>
      <c r="G195" s="1" t="s">
        <v>3</v>
      </c>
      <c r="H195" s="1" t="s">
        <v>5</v>
      </c>
      <c r="I195" s="1" t="s">
        <v>9</v>
      </c>
      <c r="J195" t="str">
        <f>IF(C195&gt;12000,"Reajustar","No Reajustar")</f>
        <v>Reajustar</v>
      </c>
      <c r="M195"/>
      <c r="N195"/>
    </row>
    <row r="196" spans="1:14" x14ac:dyDescent="0.3">
      <c r="A196" s="1" t="s">
        <v>27</v>
      </c>
      <c r="B196" s="1" t="s">
        <v>221</v>
      </c>
      <c r="C196" s="13">
        <v>11660</v>
      </c>
      <c r="D196" s="5">
        <v>25819</v>
      </c>
      <c r="E196" s="3" t="str">
        <f>TEXT(D196,"mmmm")</f>
        <v>September</v>
      </c>
      <c r="F196" s="5">
        <f ca="1">YEARFRAC(TODAY(),D196)</f>
        <v>54.952777777777776</v>
      </c>
      <c r="G196" s="1" t="s">
        <v>8</v>
      </c>
      <c r="H196" s="1" t="s">
        <v>4</v>
      </c>
      <c r="I196" s="1" t="s">
        <v>9</v>
      </c>
      <c r="J196" t="str">
        <f>IF(C196&gt;12000,"Reajustar","No Reajustar")</f>
        <v>No Reajustar</v>
      </c>
      <c r="M196"/>
      <c r="N196"/>
    </row>
    <row r="197" spans="1:14" x14ac:dyDescent="0.3">
      <c r="A197" s="1" t="s">
        <v>26</v>
      </c>
      <c r="B197" s="1" t="s">
        <v>226</v>
      </c>
      <c r="C197" s="13">
        <v>10250</v>
      </c>
      <c r="D197" s="5">
        <v>25753</v>
      </c>
      <c r="E197" s="3" t="str">
        <f>TEXT(D197,"mmmm")</f>
        <v>July</v>
      </c>
      <c r="F197" s="5">
        <f ca="1">YEARFRAC(TODAY(),D197)</f>
        <v>55.130555555555553</v>
      </c>
      <c r="G197" s="1" t="s">
        <v>8</v>
      </c>
      <c r="H197" s="1" t="s">
        <v>5</v>
      </c>
      <c r="I197" s="1" t="s">
        <v>9</v>
      </c>
      <c r="J197" t="str">
        <f>IF(C197&gt;12000,"Reajustar","No Reajustar")</f>
        <v>No Reajustar</v>
      </c>
      <c r="M197"/>
      <c r="N197"/>
    </row>
    <row r="198" spans="1:14" x14ac:dyDescent="0.3">
      <c r="A198" s="1" t="s">
        <v>25</v>
      </c>
      <c r="B198" s="1" t="s">
        <v>220</v>
      </c>
      <c r="C198" s="13">
        <v>5390</v>
      </c>
      <c r="D198" s="5">
        <v>25600</v>
      </c>
      <c r="E198" s="3" t="str">
        <f>TEXT(D198,"mmmm")</f>
        <v>February</v>
      </c>
      <c r="F198" s="5">
        <f ca="1">YEARFRAC(TODAY(),D198)</f>
        <v>55.555555555555557</v>
      </c>
      <c r="G198" s="1" t="s">
        <v>8</v>
      </c>
      <c r="H198" s="1" t="s">
        <v>12</v>
      </c>
      <c r="I198" s="1" t="s">
        <v>9</v>
      </c>
      <c r="J198" t="str">
        <f>IF(C198&gt;12000,"Reajustar","No Reajustar")</f>
        <v>No Reajustar</v>
      </c>
      <c r="M198"/>
      <c r="N198"/>
    </row>
    <row r="199" spans="1:14" x14ac:dyDescent="0.3">
      <c r="A199" s="1" t="s">
        <v>24</v>
      </c>
      <c r="B199" s="1" t="s">
        <v>220</v>
      </c>
      <c r="C199" s="13">
        <v>4180</v>
      </c>
      <c r="D199" s="5">
        <v>25305</v>
      </c>
      <c r="E199" s="3" t="str">
        <f>TEXT(D199,"mmmm")</f>
        <v>April</v>
      </c>
      <c r="F199" s="5">
        <f ca="1">YEARFRAC(TODAY(),D199)</f>
        <v>56.358333333333334</v>
      </c>
      <c r="G199" s="1" t="s">
        <v>8</v>
      </c>
      <c r="H199" s="1" t="s">
        <v>12</v>
      </c>
      <c r="I199" s="1" t="s">
        <v>9</v>
      </c>
      <c r="J199" t="str">
        <f>IF(C199&gt;12000,"Reajustar","No Reajustar")</f>
        <v>No Reajustar</v>
      </c>
      <c r="M199"/>
      <c r="N199"/>
    </row>
    <row r="200" spans="1:14" x14ac:dyDescent="0.3">
      <c r="A200" s="1" t="s">
        <v>23</v>
      </c>
      <c r="B200" s="1" t="s">
        <v>225</v>
      </c>
      <c r="C200" s="13">
        <v>4840</v>
      </c>
      <c r="D200" s="5">
        <v>25139</v>
      </c>
      <c r="E200" s="3" t="str">
        <f>TEXT(D200,"mmmm")</f>
        <v>October</v>
      </c>
      <c r="F200" s="5">
        <f ca="1">YEARFRAC(TODAY(),D200)</f>
        <v>56.81388888888889</v>
      </c>
      <c r="G200" s="1" t="s">
        <v>8</v>
      </c>
      <c r="H200" s="1" t="s">
        <v>12</v>
      </c>
      <c r="I200" s="1" t="s">
        <v>14</v>
      </c>
      <c r="J200" t="str">
        <f>IF(C200&gt;12000,"Reajustar","No Reajustar")</f>
        <v>No Reajustar</v>
      </c>
      <c r="M200"/>
      <c r="N200"/>
    </row>
    <row r="201" spans="1:14" x14ac:dyDescent="0.3">
      <c r="A201" s="1" t="s">
        <v>22</v>
      </c>
      <c r="B201" s="1" t="s">
        <v>224</v>
      </c>
      <c r="C201" s="13">
        <v>8600</v>
      </c>
      <c r="D201" s="5">
        <v>25076</v>
      </c>
      <c r="E201" s="3" t="str">
        <f>TEXT(D201,"mmmm")</f>
        <v>August</v>
      </c>
      <c r="F201" s="5">
        <f ca="1">YEARFRAC(TODAY(),D201)</f>
        <v>56.986111111111114</v>
      </c>
      <c r="G201" s="1" t="s">
        <v>8</v>
      </c>
      <c r="H201" s="1" t="s">
        <v>5</v>
      </c>
      <c r="I201" s="1" t="s">
        <v>9</v>
      </c>
      <c r="J201" t="str">
        <f>IF(C201&gt;12000,"Reajustar","No Reajustar")</f>
        <v>No Reajustar</v>
      </c>
      <c r="M201"/>
      <c r="N201"/>
    </row>
    <row r="202" spans="1:14" x14ac:dyDescent="0.3">
      <c r="A202" s="1" t="s">
        <v>21</v>
      </c>
      <c r="B202" s="1" t="s">
        <v>223</v>
      </c>
      <c r="C202" s="13">
        <v>5400</v>
      </c>
      <c r="D202" s="5">
        <v>24971</v>
      </c>
      <c r="E202" s="3" t="str">
        <f>TEXT(D202,"mmmm")</f>
        <v>May</v>
      </c>
      <c r="F202" s="5">
        <f ca="1">YEARFRAC(TODAY(),D202)</f>
        <v>57.272222222222226</v>
      </c>
      <c r="G202" s="1" t="s">
        <v>8</v>
      </c>
      <c r="H202" s="1" t="s">
        <v>5</v>
      </c>
      <c r="I202" s="1" t="s">
        <v>9</v>
      </c>
      <c r="J202" t="str">
        <f>IF(C202&gt;12000,"Reajustar","No Reajustar")</f>
        <v>No Reajustar</v>
      </c>
      <c r="M202"/>
      <c r="N202"/>
    </row>
    <row r="203" spans="1:14" x14ac:dyDescent="0.3">
      <c r="A203" s="1" t="s">
        <v>20</v>
      </c>
      <c r="B203" s="1" t="s">
        <v>220</v>
      </c>
      <c r="C203" s="13">
        <v>3520</v>
      </c>
      <c r="D203" s="5">
        <v>24276</v>
      </c>
      <c r="E203" s="3" t="str">
        <f>TEXT(D203,"mmmm")</f>
        <v>June</v>
      </c>
      <c r="F203" s="5">
        <f ca="1">YEARFRAC(TODAY(),D203)</f>
        <v>59.174999999999997</v>
      </c>
      <c r="G203" s="1" t="s">
        <v>8</v>
      </c>
      <c r="H203" s="1" t="s">
        <v>12</v>
      </c>
      <c r="I203" s="1" t="s">
        <v>9</v>
      </c>
      <c r="J203" t="str">
        <f>IF(C203&gt;12000,"Reajustar","No Reajustar")</f>
        <v>No Reajustar</v>
      </c>
      <c r="M203"/>
      <c r="N203"/>
    </row>
    <row r="204" spans="1:14" x14ac:dyDescent="0.3">
      <c r="A204" s="1" t="s">
        <v>19</v>
      </c>
      <c r="B204" s="1" t="s">
        <v>220</v>
      </c>
      <c r="C204" s="13">
        <v>4840</v>
      </c>
      <c r="D204" s="5">
        <v>23371</v>
      </c>
      <c r="E204" s="3" t="str">
        <f>TEXT(D204,"mmmm")</f>
        <v>December</v>
      </c>
      <c r="F204" s="5">
        <f ca="1">YEARFRAC(TODAY(),D204)</f>
        <v>61.652777777777779</v>
      </c>
      <c r="G204" s="1" t="s">
        <v>8</v>
      </c>
      <c r="H204" s="1" t="s">
        <v>12</v>
      </c>
      <c r="I204" s="1" t="s">
        <v>9</v>
      </c>
      <c r="J204" t="str">
        <f>IF(C204&gt;12000,"Reajustar","No Reajustar")</f>
        <v>No Reajustar</v>
      </c>
      <c r="M204"/>
      <c r="N204"/>
    </row>
    <row r="205" spans="1:14" x14ac:dyDescent="0.3">
      <c r="A205" s="1" t="s">
        <v>18</v>
      </c>
      <c r="B205" s="1" t="s">
        <v>223</v>
      </c>
      <c r="C205" s="13">
        <v>5400</v>
      </c>
      <c r="D205" s="5">
        <v>21893</v>
      </c>
      <c r="E205" s="3" t="str">
        <f>TEXT(D205,"mmmm")</f>
        <v>December</v>
      </c>
      <c r="F205" s="5">
        <f ca="1">YEARFRAC(TODAY(),D205)</f>
        <v>65.7</v>
      </c>
      <c r="G205" s="1" t="s">
        <v>3</v>
      </c>
      <c r="H205" s="1" t="s">
        <v>5</v>
      </c>
      <c r="I205" s="1" t="s">
        <v>9</v>
      </c>
      <c r="J205" t="str">
        <f>IF(C205&gt;12000,"Reajustar","No Reajustar")</f>
        <v>No Reajustar</v>
      </c>
      <c r="M205"/>
      <c r="N205"/>
    </row>
    <row r="206" spans="1:14" x14ac:dyDescent="0.3">
      <c r="A206" s="1" t="s">
        <v>17</v>
      </c>
      <c r="B206" s="1" t="s">
        <v>222</v>
      </c>
      <c r="C206" s="13">
        <v>17600</v>
      </c>
      <c r="D206" s="5">
        <v>21813</v>
      </c>
      <c r="E206" s="3" t="str">
        <f>TEXT(D206,"mmmm")</f>
        <v>September</v>
      </c>
      <c r="F206" s="5">
        <f ca="1">YEARFRAC(TODAY(),D206)</f>
        <v>65.919444444444451</v>
      </c>
      <c r="G206" s="1" t="s">
        <v>3</v>
      </c>
      <c r="H206" s="1" t="s">
        <v>11</v>
      </c>
      <c r="I206" s="1" t="s">
        <v>9</v>
      </c>
      <c r="J206" t="str">
        <f>IF(C206&gt;12000,"Reajustar","No Reajustar")</f>
        <v>Reajustar</v>
      </c>
      <c r="M206"/>
      <c r="N206"/>
    </row>
    <row r="207" spans="1:14" x14ac:dyDescent="0.3">
      <c r="A207" s="1" t="s">
        <v>16</v>
      </c>
      <c r="B207" s="1" t="s">
        <v>221</v>
      </c>
      <c r="C207" s="13">
        <v>11902</v>
      </c>
      <c r="D207" s="5">
        <v>20836</v>
      </c>
      <c r="E207" s="3" t="str">
        <f>TEXT(D207,"mmmm")</f>
        <v>January</v>
      </c>
      <c r="F207" s="5">
        <f ca="1">YEARFRAC(TODAY(),D207)</f>
        <v>68.597222222222229</v>
      </c>
      <c r="G207" s="1" t="s">
        <v>3</v>
      </c>
      <c r="H207" s="1" t="s">
        <v>4</v>
      </c>
      <c r="I207" s="1" t="s">
        <v>9</v>
      </c>
      <c r="J207" t="str">
        <f>IF(C207&gt;12000,"Reajustar","No Reajustar")</f>
        <v>No Reajustar</v>
      </c>
      <c r="M207"/>
      <c r="N207"/>
    </row>
    <row r="208" spans="1:14" x14ac:dyDescent="0.3">
      <c r="A208" s="1" t="s">
        <v>15</v>
      </c>
      <c r="B208" s="1" t="s">
        <v>220</v>
      </c>
      <c r="C208" s="13">
        <v>3520</v>
      </c>
      <c r="D208" s="5">
        <v>20485</v>
      </c>
      <c r="E208" s="3" t="str">
        <f>TEXT(D208,"mmmm")</f>
        <v>January</v>
      </c>
      <c r="F208" s="5">
        <f ca="1">YEARFRAC(TODAY(),D208)</f>
        <v>69.558333333333337</v>
      </c>
      <c r="G208" s="1" t="s">
        <v>8</v>
      </c>
      <c r="H208" s="1" t="s">
        <v>12</v>
      </c>
      <c r="I208" s="1" t="s">
        <v>9</v>
      </c>
      <c r="J208" t="str">
        <f>IF(C208&gt;12000,"Reajustar","No Reajustar")</f>
        <v>No Reajustar</v>
      </c>
      <c r="M208"/>
      <c r="N208"/>
    </row>
  </sheetData>
  <autoFilter ref="A1:I208" xr:uid="{368F5F32-EA1E-44D7-BC71-7F187E02E8F2}">
    <sortState xmlns:xlrd2="http://schemas.microsoft.com/office/spreadsheetml/2017/richdata2" ref="A2:I208">
      <sortCondition ref="D1:D208"/>
    </sortState>
  </autoFilter>
  <sortState xmlns:xlrd2="http://schemas.microsoft.com/office/spreadsheetml/2017/richdata2" ref="A2:J208">
    <sortCondition ref="F2:F208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0E6A5-D2C1-4994-B259-99C7BA521FE6}">
  <dimension ref="A1:H16"/>
  <sheetViews>
    <sheetView zoomScale="150" zoomScaleNormal="150" workbookViewId="0">
      <selection activeCell="E23" sqref="E23"/>
    </sheetView>
  </sheetViews>
  <sheetFormatPr defaultRowHeight="14.4" x14ac:dyDescent="0.3"/>
  <cols>
    <col min="1" max="1" width="14.77734375" bestFit="1" customWidth="1"/>
    <col min="2" max="2" width="21.5546875" bestFit="1" customWidth="1"/>
    <col min="3" max="3" width="11.33203125" bestFit="1" customWidth="1"/>
    <col min="4" max="4" width="19.5546875" customWidth="1"/>
    <col min="5" max="5" width="19" customWidth="1"/>
    <col min="6" max="6" width="6.109375" customWidth="1"/>
    <col min="7" max="7" width="11.44140625" customWidth="1"/>
    <col min="8" max="8" width="14.21875" customWidth="1"/>
  </cols>
  <sheetData>
    <row r="1" spans="1:8" x14ac:dyDescent="0.3">
      <c r="A1" s="1" t="s">
        <v>248</v>
      </c>
      <c r="B1" s="1" t="s">
        <v>247</v>
      </c>
      <c r="C1" s="6" t="s">
        <v>7</v>
      </c>
      <c r="D1" s="3" t="s">
        <v>13</v>
      </c>
      <c r="E1" s="3" t="s">
        <v>251</v>
      </c>
      <c r="F1" s="3" t="s">
        <v>249</v>
      </c>
      <c r="G1" s="1" t="s">
        <v>0</v>
      </c>
      <c r="H1" s="1" t="s">
        <v>1</v>
      </c>
    </row>
    <row r="2" spans="1:8" x14ac:dyDescent="0.3">
      <c r="A2" s="1" t="s">
        <v>15</v>
      </c>
      <c r="B2" s="1" t="s">
        <v>220</v>
      </c>
      <c r="C2" s="6">
        <v>3520</v>
      </c>
      <c r="D2" s="3">
        <v>20485</v>
      </c>
      <c r="E2" s="3" t="str">
        <f t="shared" ref="E2:E16" si="0">TEXT(D2,"mmmm")</f>
        <v>January</v>
      </c>
      <c r="F2" s="5">
        <f t="shared" ref="F2:F16" ca="1" si="1">YEARFRAC(TODAY(),D2)</f>
        <v>69.558333333333337</v>
      </c>
      <c r="G2" s="1" t="s">
        <v>8</v>
      </c>
      <c r="H2" s="1" t="s">
        <v>12</v>
      </c>
    </row>
    <row r="3" spans="1:8" hidden="1" x14ac:dyDescent="0.3">
      <c r="A3" s="1" t="s">
        <v>16</v>
      </c>
      <c r="B3" s="1" t="s">
        <v>221</v>
      </c>
      <c r="C3" s="6">
        <v>11902</v>
      </c>
      <c r="D3" s="3">
        <v>20836</v>
      </c>
      <c r="E3" s="3" t="str">
        <f t="shared" si="0"/>
        <v>January</v>
      </c>
      <c r="F3" s="5">
        <f t="shared" ca="1" si="1"/>
        <v>68.597222222222229</v>
      </c>
      <c r="G3" s="1" t="s">
        <v>3</v>
      </c>
      <c r="H3" s="1" t="s">
        <v>4</v>
      </c>
    </row>
    <row r="4" spans="1:8" hidden="1" x14ac:dyDescent="0.3">
      <c r="A4" s="1" t="s">
        <v>17</v>
      </c>
      <c r="B4" s="1" t="s">
        <v>222</v>
      </c>
      <c r="C4" s="6">
        <v>17600</v>
      </c>
      <c r="D4" s="3">
        <v>21813</v>
      </c>
      <c r="E4" s="3" t="str">
        <f t="shared" si="0"/>
        <v>September</v>
      </c>
      <c r="F4" s="5">
        <f t="shared" ca="1" si="1"/>
        <v>65.919444444444451</v>
      </c>
      <c r="G4" s="1" t="s">
        <v>3</v>
      </c>
      <c r="H4" s="1" t="s">
        <v>11</v>
      </c>
    </row>
    <row r="5" spans="1:8" hidden="1" x14ac:dyDescent="0.3">
      <c r="A5" s="1" t="s">
        <v>18</v>
      </c>
      <c r="B5" s="1" t="s">
        <v>223</v>
      </c>
      <c r="C5" s="6">
        <v>5400</v>
      </c>
      <c r="D5" s="3">
        <v>21893</v>
      </c>
      <c r="E5" s="3" t="str">
        <f t="shared" si="0"/>
        <v>December</v>
      </c>
      <c r="F5" s="5">
        <f t="shared" ca="1" si="1"/>
        <v>65.7</v>
      </c>
      <c r="G5" s="1" t="s">
        <v>3</v>
      </c>
      <c r="H5" s="1" t="s">
        <v>5</v>
      </c>
    </row>
    <row r="6" spans="1:8" hidden="1" x14ac:dyDescent="0.3">
      <c r="A6" s="1" t="s">
        <v>19</v>
      </c>
      <c r="B6" s="1" t="s">
        <v>220</v>
      </c>
      <c r="C6" s="6">
        <v>4840</v>
      </c>
      <c r="D6" s="3">
        <v>23371</v>
      </c>
      <c r="E6" s="3" t="str">
        <f t="shared" si="0"/>
        <v>December</v>
      </c>
      <c r="F6" s="5">
        <f t="shared" ca="1" si="1"/>
        <v>61.652777777777779</v>
      </c>
      <c r="G6" s="1" t="s">
        <v>8</v>
      </c>
      <c r="H6" s="1" t="s">
        <v>12</v>
      </c>
    </row>
    <row r="7" spans="1:8" x14ac:dyDescent="0.3">
      <c r="A7" s="1" t="s">
        <v>20</v>
      </c>
      <c r="B7" s="1" t="s">
        <v>220</v>
      </c>
      <c r="C7" s="6">
        <v>3520</v>
      </c>
      <c r="D7" s="3">
        <v>24276</v>
      </c>
      <c r="E7" s="3" t="str">
        <f t="shared" si="0"/>
        <v>June</v>
      </c>
      <c r="F7" s="5">
        <f t="shared" ca="1" si="1"/>
        <v>59.174999999999997</v>
      </c>
      <c r="G7" s="1" t="s">
        <v>8</v>
      </c>
      <c r="H7" s="1" t="s">
        <v>12</v>
      </c>
    </row>
    <row r="8" spans="1:8" hidden="1" x14ac:dyDescent="0.3">
      <c r="A8" s="1" t="s">
        <v>21</v>
      </c>
      <c r="B8" s="1" t="s">
        <v>223</v>
      </c>
      <c r="C8" s="6">
        <v>5400</v>
      </c>
      <c r="D8" s="3">
        <v>24971</v>
      </c>
      <c r="E8" s="3" t="str">
        <f t="shared" si="0"/>
        <v>May</v>
      </c>
      <c r="F8" s="5">
        <f t="shared" ca="1" si="1"/>
        <v>57.272222222222226</v>
      </c>
      <c r="G8" s="1" t="s">
        <v>8</v>
      </c>
      <c r="H8" s="1" t="s">
        <v>5</v>
      </c>
    </row>
    <row r="9" spans="1:8" hidden="1" x14ac:dyDescent="0.3">
      <c r="A9" s="1" t="s">
        <v>22</v>
      </c>
      <c r="B9" s="1" t="s">
        <v>224</v>
      </c>
      <c r="C9" s="6">
        <v>8600</v>
      </c>
      <c r="D9" s="3">
        <v>25076</v>
      </c>
      <c r="E9" s="3" t="str">
        <f t="shared" si="0"/>
        <v>August</v>
      </c>
      <c r="F9" s="5">
        <f t="shared" ca="1" si="1"/>
        <v>56.986111111111114</v>
      </c>
      <c r="G9" s="1" t="s">
        <v>8</v>
      </c>
      <c r="H9" s="1" t="s">
        <v>5</v>
      </c>
    </row>
    <row r="10" spans="1:8" hidden="1" x14ac:dyDescent="0.3">
      <c r="A10" s="1" t="s">
        <v>23</v>
      </c>
      <c r="B10" s="1" t="s">
        <v>225</v>
      </c>
      <c r="C10" s="6">
        <v>4840</v>
      </c>
      <c r="D10" s="3">
        <v>25139</v>
      </c>
      <c r="E10" s="3" t="str">
        <f t="shared" si="0"/>
        <v>October</v>
      </c>
      <c r="F10" s="5">
        <f t="shared" ca="1" si="1"/>
        <v>56.81388888888889</v>
      </c>
      <c r="G10" s="1" t="s">
        <v>8</v>
      </c>
      <c r="H10" s="1" t="s">
        <v>12</v>
      </c>
    </row>
    <row r="11" spans="1:8" hidden="1" x14ac:dyDescent="0.3">
      <c r="A11" s="1" t="s">
        <v>24</v>
      </c>
      <c r="B11" s="1" t="s">
        <v>220</v>
      </c>
      <c r="C11" s="6">
        <v>4180</v>
      </c>
      <c r="D11" s="3">
        <v>25305</v>
      </c>
      <c r="E11" s="3" t="str">
        <f t="shared" si="0"/>
        <v>April</v>
      </c>
      <c r="F11" s="5">
        <f t="shared" ca="1" si="1"/>
        <v>56.358333333333334</v>
      </c>
      <c r="G11" s="1" t="s">
        <v>8</v>
      </c>
      <c r="H11" s="1" t="s">
        <v>12</v>
      </c>
    </row>
    <row r="12" spans="1:8" hidden="1" x14ac:dyDescent="0.3">
      <c r="A12" s="1" t="s">
        <v>25</v>
      </c>
      <c r="B12" s="1" t="s">
        <v>220</v>
      </c>
      <c r="C12" s="6">
        <v>5390</v>
      </c>
      <c r="D12" s="3">
        <v>25600</v>
      </c>
      <c r="E12" s="3" t="str">
        <f t="shared" si="0"/>
        <v>February</v>
      </c>
      <c r="F12" s="5">
        <f t="shared" ca="1" si="1"/>
        <v>55.555555555555557</v>
      </c>
      <c r="G12" s="1" t="s">
        <v>8</v>
      </c>
      <c r="H12" s="1" t="s">
        <v>12</v>
      </c>
    </row>
    <row r="13" spans="1:8" hidden="1" x14ac:dyDescent="0.3">
      <c r="A13" s="1" t="s">
        <v>26</v>
      </c>
      <c r="B13" s="1" t="s">
        <v>226</v>
      </c>
      <c r="C13" s="6">
        <v>10250</v>
      </c>
      <c r="D13" s="3">
        <v>25753</v>
      </c>
      <c r="E13" s="3" t="str">
        <f t="shared" si="0"/>
        <v>July</v>
      </c>
      <c r="F13" s="5">
        <f t="shared" ca="1" si="1"/>
        <v>55.130555555555553</v>
      </c>
      <c r="G13" s="1" t="s">
        <v>8</v>
      </c>
      <c r="H13" s="1" t="s">
        <v>5</v>
      </c>
    </row>
    <row r="14" spans="1:8" hidden="1" x14ac:dyDescent="0.3">
      <c r="A14" s="1" t="s">
        <v>27</v>
      </c>
      <c r="B14" s="1" t="s">
        <v>221</v>
      </c>
      <c r="C14" s="6">
        <v>11660</v>
      </c>
      <c r="D14" s="3">
        <v>25819</v>
      </c>
      <c r="E14" s="3" t="str">
        <f t="shared" si="0"/>
        <v>September</v>
      </c>
      <c r="F14" s="5">
        <f t="shared" ca="1" si="1"/>
        <v>54.952777777777776</v>
      </c>
      <c r="G14" s="1" t="s">
        <v>8</v>
      </c>
      <c r="H14" s="1" t="s">
        <v>4</v>
      </c>
    </row>
    <row r="15" spans="1:8" hidden="1" x14ac:dyDescent="0.3">
      <c r="A15" s="1" t="s">
        <v>28</v>
      </c>
      <c r="B15" s="1" t="s">
        <v>227</v>
      </c>
      <c r="C15" s="6">
        <v>13200</v>
      </c>
      <c r="D15" s="3">
        <v>26008</v>
      </c>
      <c r="E15" s="3" t="str">
        <f t="shared" si="0"/>
        <v>March</v>
      </c>
      <c r="F15" s="5">
        <f t="shared" ca="1" si="1"/>
        <v>54.430555555555557</v>
      </c>
      <c r="G15" s="1" t="s">
        <v>3</v>
      </c>
      <c r="H15" s="1" t="s">
        <v>5</v>
      </c>
    </row>
    <row r="16" spans="1:8" hidden="1" x14ac:dyDescent="0.3">
      <c r="A16" s="1" t="s">
        <v>29</v>
      </c>
      <c r="B16" s="1" t="s">
        <v>220</v>
      </c>
      <c r="C16" s="6">
        <v>4620</v>
      </c>
      <c r="D16" s="3">
        <v>26013</v>
      </c>
      <c r="E16" s="3" t="str">
        <f t="shared" si="0"/>
        <v>March</v>
      </c>
      <c r="F16" s="5">
        <f t="shared" ca="1" si="1"/>
        <v>54.416666666666664</v>
      </c>
      <c r="G16" s="1" t="s">
        <v>8</v>
      </c>
      <c r="H16" s="1" t="s">
        <v>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4938C-296F-4566-AB08-E2C637D7B70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30131-30BF-4B8B-965F-99282B7C3AFB}">
  <dimension ref="A1:G13"/>
  <sheetViews>
    <sheetView zoomScale="184" zoomScaleNormal="184" workbookViewId="0">
      <selection activeCell="A4" sqref="A4:XFD4"/>
    </sheetView>
  </sheetViews>
  <sheetFormatPr defaultRowHeight="14.4" x14ac:dyDescent="0.3"/>
  <cols>
    <col min="2" max="2" width="9.77734375" bestFit="1" customWidth="1"/>
    <col min="3" max="3" width="9.6640625" bestFit="1" customWidth="1"/>
    <col min="4" max="4" width="9.6640625" customWidth="1"/>
    <col min="6" max="6" width="13.77734375" customWidth="1"/>
    <col min="7" max="7" width="19.77734375" customWidth="1"/>
  </cols>
  <sheetData>
    <row r="1" spans="1:7" x14ac:dyDescent="0.3">
      <c r="B1" t="s">
        <v>267</v>
      </c>
      <c r="C1" t="s">
        <v>268</v>
      </c>
      <c r="D1" t="s">
        <v>263</v>
      </c>
      <c r="E1" t="s">
        <v>269</v>
      </c>
      <c r="F1" t="s">
        <v>1</v>
      </c>
      <c r="G1" t="s">
        <v>270</v>
      </c>
    </row>
    <row r="2" spans="1:7" x14ac:dyDescent="0.3">
      <c r="A2">
        <v>1</v>
      </c>
      <c r="B2" t="s">
        <v>296</v>
      </c>
      <c r="C2" t="s">
        <v>297</v>
      </c>
      <c r="E2" t="s">
        <v>298</v>
      </c>
      <c r="F2" t="s">
        <v>12</v>
      </c>
      <c r="G2" s="11">
        <v>35315</v>
      </c>
    </row>
    <row r="3" spans="1:7" x14ac:dyDescent="0.3">
      <c r="A3">
        <v>3</v>
      </c>
      <c r="B3" t="s">
        <v>285</v>
      </c>
      <c r="C3" t="s">
        <v>286</v>
      </c>
      <c r="E3" t="s">
        <v>272</v>
      </c>
      <c r="F3" t="s">
        <v>273</v>
      </c>
      <c r="G3" s="11">
        <v>33919</v>
      </c>
    </row>
    <row r="4" spans="1:7" x14ac:dyDescent="0.3">
      <c r="A4">
        <v>4</v>
      </c>
      <c r="B4" t="s">
        <v>290</v>
      </c>
      <c r="C4" t="s">
        <v>291</v>
      </c>
      <c r="E4" t="s">
        <v>272</v>
      </c>
      <c r="F4" t="s">
        <v>273</v>
      </c>
      <c r="G4" s="11">
        <v>32507</v>
      </c>
    </row>
    <row r="5" spans="1:7" x14ac:dyDescent="0.3">
      <c r="A5">
        <v>5</v>
      </c>
      <c r="B5" t="s">
        <v>277</v>
      </c>
      <c r="C5" t="s">
        <v>278</v>
      </c>
      <c r="E5" t="s">
        <v>279</v>
      </c>
      <c r="F5" t="s">
        <v>12</v>
      </c>
      <c r="G5" s="11">
        <v>30623</v>
      </c>
    </row>
    <row r="6" spans="1:7" x14ac:dyDescent="0.3">
      <c r="B6" t="s">
        <v>287</v>
      </c>
      <c r="C6" t="s">
        <v>288</v>
      </c>
      <c r="E6" t="s">
        <v>289</v>
      </c>
      <c r="F6" t="s">
        <v>276</v>
      </c>
      <c r="G6" s="11">
        <v>29513</v>
      </c>
    </row>
    <row r="7" spans="1:7" x14ac:dyDescent="0.3">
      <c r="B7" t="s">
        <v>283</v>
      </c>
      <c r="C7" t="s">
        <v>284</v>
      </c>
      <c r="E7" t="s">
        <v>272</v>
      </c>
      <c r="F7" t="s">
        <v>282</v>
      </c>
      <c r="G7" s="11">
        <v>28119</v>
      </c>
    </row>
    <row r="8" spans="1:7" x14ac:dyDescent="0.3">
      <c r="B8" t="s">
        <v>294</v>
      </c>
      <c r="C8" t="s">
        <v>295</v>
      </c>
      <c r="E8" t="s">
        <v>289</v>
      </c>
      <c r="F8" t="s">
        <v>12</v>
      </c>
      <c r="G8" s="11">
        <v>27186</v>
      </c>
    </row>
    <row r="9" spans="1:7" x14ac:dyDescent="0.3">
      <c r="B9" t="s">
        <v>292</v>
      </c>
      <c r="C9" t="s">
        <v>293</v>
      </c>
      <c r="E9" t="s">
        <v>289</v>
      </c>
      <c r="F9" t="s">
        <v>276</v>
      </c>
      <c r="G9" s="11">
        <v>26670</v>
      </c>
    </row>
    <row r="10" spans="1:7" x14ac:dyDescent="0.3">
      <c r="B10" t="s">
        <v>280</v>
      </c>
      <c r="C10" t="s">
        <v>281</v>
      </c>
      <c r="E10" t="s">
        <v>279</v>
      </c>
      <c r="F10" t="s">
        <v>282</v>
      </c>
      <c r="G10" s="11">
        <v>26378</v>
      </c>
    </row>
    <row r="11" spans="1:7" x14ac:dyDescent="0.3">
      <c r="B11" t="s">
        <v>299</v>
      </c>
      <c r="C11" t="s">
        <v>300</v>
      </c>
      <c r="E11" t="s">
        <v>301</v>
      </c>
      <c r="F11" t="s">
        <v>302</v>
      </c>
      <c r="G11" s="11">
        <v>24211</v>
      </c>
    </row>
    <row r="12" spans="1:7" x14ac:dyDescent="0.3">
      <c r="B12" t="s">
        <v>160</v>
      </c>
      <c r="C12" t="s">
        <v>274</v>
      </c>
      <c r="E12" t="s">
        <v>275</v>
      </c>
      <c r="F12" t="s">
        <v>276</v>
      </c>
      <c r="G12" s="11">
        <v>23256</v>
      </c>
    </row>
    <row r="13" spans="1:7" x14ac:dyDescent="0.3">
      <c r="B13" t="s">
        <v>146</v>
      </c>
      <c r="C13" t="s">
        <v>271</v>
      </c>
      <c r="E13" t="s">
        <v>272</v>
      </c>
      <c r="F13" t="s">
        <v>273</v>
      </c>
      <c r="G13" s="11">
        <v>19218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F5F32-EA1E-44D7-BC71-7F187E02E8F2}">
  <sheetPr codeName="Hoja1"/>
  <dimension ref="A1:N208"/>
  <sheetViews>
    <sheetView topLeftCell="A67" zoomScale="203" zoomScaleNormal="203" workbookViewId="0">
      <selection activeCell="M2" sqref="M2"/>
    </sheetView>
  </sheetViews>
  <sheetFormatPr defaultColWidth="8.6640625" defaultRowHeight="14.4" x14ac:dyDescent="0.3"/>
  <cols>
    <col min="1" max="2" width="26.44140625" style="2" customWidth="1"/>
    <col min="3" max="3" width="11.5546875" style="8" bestFit="1" customWidth="1"/>
    <col min="4" max="4" width="20.5546875" style="4" bestFit="1" customWidth="1"/>
    <col min="5" max="6" width="9.88671875" style="2" customWidth="1"/>
    <col min="7" max="7" width="13.44140625" style="2" bestFit="1" customWidth="1"/>
    <col min="8" max="8" width="16.33203125" style="2" bestFit="1" customWidth="1"/>
    <col min="9" max="9" width="26" style="2" bestFit="1" customWidth="1"/>
    <col min="10" max="10" width="16.6640625" bestFit="1" customWidth="1"/>
    <col min="12" max="12" width="16.33203125" style="2" bestFit="1" customWidth="1"/>
    <col min="13" max="13" width="19.77734375" bestFit="1" customWidth="1"/>
  </cols>
  <sheetData>
    <row r="1" spans="1:14" x14ac:dyDescent="0.3">
      <c r="A1" s="1" t="s">
        <v>253</v>
      </c>
      <c r="B1" s="1" t="s">
        <v>6</v>
      </c>
      <c r="C1" s="7" t="s">
        <v>7</v>
      </c>
      <c r="D1" s="3" t="s">
        <v>13</v>
      </c>
      <c r="E1" s="1" t="s">
        <v>249</v>
      </c>
      <c r="F1" s="1" t="s">
        <v>263</v>
      </c>
      <c r="G1" s="1" t="s">
        <v>0</v>
      </c>
      <c r="H1" s="1" t="s">
        <v>1</v>
      </c>
      <c r="I1" s="1" t="s">
        <v>2</v>
      </c>
      <c r="J1" s="1" t="s">
        <v>250</v>
      </c>
      <c r="L1" s="1" t="s">
        <v>1</v>
      </c>
      <c r="M1" t="s">
        <v>264</v>
      </c>
      <c r="N1" t="s">
        <v>265</v>
      </c>
    </row>
    <row r="2" spans="1:14" x14ac:dyDescent="0.3">
      <c r="A2" s="1" t="s">
        <v>15</v>
      </c>
      <c r="B2" s="1" t="s">
        <v>220</v>
      </c>
      <c r="C2" s="7">
        <v>3520</v>
      </c>
      <c r="D2" s="3">
        <v>20485</v>
      </c>
      <c r="E2" s="10">
        <f t="shared" ref="E2:E65" ca="1" si="0">YEARFRAC(TODAY(),D2)</f>
        <v>69.558333333333337</v>
      </c>
      <c r="F2" s="10" t="str">
        <f t="shared" ref="F2:F19" si="1">TEXT(D2,"mmmm")</f>
        <v>January</v>
      </c>
      <c r="G2" s="1" t="s">
        <v>8</v>
      </c>
      <c r="H2" s="1" t="s">
        <v>12</v>
      </c>
      <c r="I2" s="1" t="s">
        <v>9</v>
      </c>
      <c r="J2" s="1" t="str">
        <f t="shared" ref="J2:J65" si="2">IF(C2&gt;12000,"Aumento","No Aumento")</f>
        <v>No Aumento</v>
      </c>
      <c r="L2" s="1" t="s">
        <v>12</v>
      </c>
      <c r="M2">
        <f>COUNTIF(Table1[Departamento],L2)</f>
        <v>125</v>
      </c>
      <c r="N2">
        <f>SUMIF(H2:H208,L2,C2:C208)</f>
        <v>645524</v>
      </c>
    </row>
    <row r="3" spans="1:14" x14ac:dyDescent="0.3">
      <c r="A3" s="1" t="s">
        <v>16</v>
      </c>
      <c r="B3" s="1" t="s">
        <v>221</v>
      </c>
      <c r="C3" s="7">
        <v>11902</v>
      </c>
      <c r="D3" s="3">
        <v>20836</v>
      </c>
      <c r="E3" s="10">
        <f t="shared" ca="1" si="0"/>
        <v>68.597222222222229</v>
      </c>
      <c r="F3" s="10" t="str">
        <f>TEXT(D3,"mmmm")</f>
        <v>January</v>
      </c>
      <c r="G3" s="1" t="s">
        <v>3</v>
      </c>
      <c r="H3" s="1" t="s">
        <v>4</v>
      </c>
      <c r="I3" s="1" t="s">
        <v>9</v>
      </c>
      <c r="J3" s="1" t="str">
        <f t="shared" si="2"/>
        <v>No Aumento</v>
      </c>
      <c r="L3" s="1" t="s">
        <v>4</v>
      </c>
      <c r="M3">
        <f>COUNTIF(H2:H209,L3)</f>
        <v>47</v>
      </c>
      <c r="N3">
        <f>SUMIF(H3:H209,L3,C3:C209)</f>
        <v>465715</v>
      </c>
    </row>
    <row r="4" spans="1:14" x14ac:dyDescent="0.3">
      <c r="A4" s="1" t="s">
        <v>17</v>
      </c>
      <c r="B4" s="1" t="s">
        <v>222</v>
      </c>
      <c r="C4" s="7">
        <v>17600</v>
      </c>
      <c r="D4" s="3">
        <v>21813</v>
      </c>
      <c r="E4" s="10">
        <f t="shared" ca="1" si="0"/>
        <v>65.919444444444451</v>
      </c>
      <c r="F4" s="10" t="str">
        <f t="shared" si="1"/>
        <v>September</v>
      </c>
      <c r="G4" s="1" t="s">
        <v>3</v>
      </c>
      <c r="H4" s="1" t="s">
        <v>11</v>
      </c>
      <c r="I4" s="1" t="s">
        <v>9</v>
      </c>
      <c r="J4" s="1" t="str">
        <f t="shared" si="2"/>
        <v>Aumento</v>
      </c>
      <c r="L4" s="1" t="s">
        <v>11</v>
      </c>
      <c r="M4">
        <f>COUNTIF(H3:H210,L4)</f>
        <v>8</v>
      </c>
      <c r="N4">
        <f>SUMIF(H4:H210,L4,C4:C210)</f>
        <v>66431</v>
      </c>
    </row>
    <row r="5" spans="1:14" x14ac:dyDescent="0.3">
      <c r="A5" s="1" t="s">
        <v>18</v>
      </c>
      <c r="B5" s="1" t="s">
        <v>223</v>
      </c>
      <c r="C5" s="7">
        <v>5400</v>
      </c>
      <c r="D5" s="3">
        <v>21893</v>
      </c>
      <c r="E5" s="10">
        <f t="shared" ca="1" si="0"/>
        <v>65.7</v>
      </c>
      <c r="F5" s="10" t="str">
        <f t="shared" si="1"/>
        <v>December</v>
      </c>
      <c r="G5" s="1" t="s">
        <v>3</v>
      </c>
      <c r="H5" s="1" t="s">
        <v>5</v>
      </c>
      <c r="I5" s="1" t="s">
        <v>9</v>
      </c>
      <c r="J5" s="1" t="str">
        <f t="shared" si="2"/>
        <v>No Aumento</v>
      </c>
      <c r="L5" s="1" t="s">
        <v>5</v>
      </c>
      <c r="M5">
        <f>COUNTIF(H4:H211,L5)</f>
        <v>27</v>
      </c>
      <c r="N5">
        <f>SUMIF(H5:H211,L5,C5:C211)</f>
        <v>215200</v>
      </c>
    </row>
    <row r="6" spans="1:14" x14ac:dyDescent="0.3">
      <c r="A6" s="1" t="s">
        <v>19</v>
      </c>
      <c r="B6" s="1" t="s">
        <v>220</v>
      </c>
      <c r="C6" s="7">
        <v>4840</v>
      </c>
      <c r="D6" s="3">
        <v>23371</v>
      </c>
      <c r="E6" s="10">
        <f t="shared" ca="1" si="0"/>
        <v>61.652777777777779</v>
      </c>
      <c r="F6" s="10" t="str">
        <f t="shared" si="1"/>
        <v>December</v>
      </c>
      <c r="G6" s="1" t="s">
        <v>8</v>
      </c>
      <c r="H6" s="1" t="s">
        <v>12</v>
      </c>
      <c r="I6" s="1" t="s">
        <v>9</v>
      </c>
      <c r="J6" s="1" t="str">
        <f t="shared" si="2"/>
        <v>No Aumento</v>
      </c>
      <c r="L6"/>
      <c r="M6" s="9"/>
      <c r="N6" s="1"/>
    </row>
    <row r="7" spans="1:14" x14ac:dyDescent="0.3">
      <c r="A7" s="1" t="s">
        <v>20</v>
      </c>
      <c r="B7" s="1" t="s">
        <v>220</v>
      </c>
      <c r="C7" s="7">
        <v>3520</v>
      </c>
      <c r="D7" s="3">
        <v>24276</v>
      </c>
      <c r="E7" s="10">
        <f t="shared" ca="1" si="0"/>
        <v>59.174999999999997</v>
      </c>
      <c r="F7" s="10" t="str">
        <f t="shared" si="1"/>
        <v>June</v>
      </c>
      <c r="G7" s="1" t="s">
        <v>8</v>
      </c>
      <c r="H7" s="1" t="s">
        <v>12</v>
      </c>
      <c r="I7" s="1" t="s">
        <v>9</v>
      </c>
      <c r="J7" s="1" t="str">
        <f t="shared" si="2"/>
        <v>No Aumento</v>
      </c>
      <c r="L7"/>
      <c r="N7" s="1"/>
    </row>
    <row r="8" spans="1:14" x14ac:dyDescent="0.3">
      <c r="A8" s="1" t="s">
        <v>21</v>
      </c>
      <c r="B8" s="1" t="s">
        <v>223</v>
      </c>
      <c r="C8" s="7">
        <v>5400</v>
      </c>
      <c r="D8" s="3">
        <v>24971</v>
      </c>
      <c r="E8" s="10">
        <f t="shared" ca="1" si="0"/>
        <v>57.272222222222226</v>
      </c>
      <c r="F8" s="10" t="str">
        <f t="shared" si="1"/>
        <v>May</v>
      </c>
      <c r="G8" s="1" t="s">
        <v>8</v>
      </c>
      <c r="H8" s="1" t="s">
        <v>5</v>
      </c>
      <c r="I8" s="1" t="s">
        <v>9</v>
      </c>
      <c r="J8" s="1" t="str">
        <f t="shared" si="2"/>
        <v>No Aumento</v>
      </c>
      <c r="L8"/>
      <c r="N8" s="1"/>
    </row>
    <row r="9" spans="1:14" x14ac:dyDescent="0.3">
      <c r="A9" s="1" t="s">
        <v>22</v>
      </c>
      <c r="B9" s="1" t="s">
        <v>224</v>
      </c>
      <c r="C9" s="7">
        <v>8600</v>
      </c>
      <c r="D9" s="3">
        <v>25076</v>
      </c>
      <c r="E9" s="10">
        <f t="shared" ca="1" si="0"/>
        <v>56.986111111111114</v>
      </c>
      <c r="F9" s="10" t="str">
        <f t="shared" si="1"/>
        <v>August</v>
      </c>
      <c r="G9" s="1" t="s">
        <v>8</v>
      </c>
      <c r="H9" s="1" t="s">
        <v>5</v>
      </c>
      <c r="I9" s="1" t="s">
        <v>9</v>
      </c>
      <c r="J9" s="1" t="str">
        <f t="shared" si="2"/>
        <v>No Aumento</v>
      </c>
      <c r="L9"/>
    </row>
    <row r="10" spans="1:14" x14ac:dyDescent="0.3">
      <c r="A10" s="1" t="s">
        <v>23</v>
      </c>
      <c r="B10" s="1" t="s">
        <v>225</v>
      </c>
      <c r="C10" s="7">
        <v>4840</v>
      </c>
      <c r="D10" s="3">
        <v>25139</v>
      </c>
      <c r="E10" s="10">
        <f t="shared" ca="1" si="0"/>
        <v>56.81388888888889</v>
      </c>
      <c r="F10" s="10" t="str">
        <f t="shared" si="1"/>
        <v>October</v>
      </c>
      <c r="G10" s="1" t="s">
        <v>8</v>
      </c>
      <c r="H10" s="1" t="s">
        <v>12</v>
      </c>
      <c r="I10" s="1" t="s">
        <v>14</v>
      </c>
      <c r="J10" s="1" t="str">
        <f t="shared" si="2"/>
        <v>No Aumento</v>
      </c>
      <c r="L10"/>
    </row>
    <row r="11" spans="1:14" x14ac:dyDescent="0.3">
      <c r="A11" s="1" t="s">
        <v>24</v>
      </c>
      <c r="B11" s="1" t="s">
        <v>220</v>
      </c>
      <c r="C11" s="7">
        <v>4180</v>
      </c>
      <c r="D11" s="3">
        <v>25305</v>
      </c>
      <c r="E11" s="10">
        <f t="shared" ca="1" si="0"/>
        <v>56.358333333333334</v>
      </c>
      <c r="F11" s="10" t="str">
        <f t="shared" si="1"/>
        <v>April</v>
      </c>
      <c r="G11" s="1" t="s">
        <v>8</v>
      </c>
      <c r="H11" s="1" t="s">
        <v>12</v>
      </c>
      <c r="I11" s="1" t="s">
        <v>9</v>
      </c>
      <c r="J11" s="1" t="str">
        <f t="shared" si="2"/>
        <v>No Aumento</v>
      </c>
      <c r="L11"/>
    </row>
    <row r="12" spans="1:14" x14ac:dyDescent="0.3">
      <c r="A12" s="1" t="s">
        <v>25</v>
      </c>
      <c r="B12" s="1" t="s">
        <v>220</v>
      </c>
      <c r="C12" s="7">
        <v>5390</v>
      </c>
      <c r="D12" s="3">
        <v>25600</v>
      </c>
      <c r="E12" s="10">
        <f t="shared" ca="1" si="0"/>
        <v>55.555555555555557</v>
      </c>
      <c r="F12" s="10" t="str">
        <f t="shared" si="1"/>
        <v>February</v>
      </c>
      <c r="G12" s="1" t="s">
        <v>8</v>
      </c>
      <c r="H12" s="1" t="s">
        <v>12</v>
      </c>
      <c r="I12" s="1" t="s">
        <v>9</v>
      </c>
      <c r="J12" s="1" t="str">
        <f t="shared" si="2"/>
        <v>No Aumento</v>
      </c>
      <c r="L12"/>
    </row>
    <row r="13" spans="1:14" x14ac:dyDescent="0.3">
      <c r="A13" s="1" t="s">
        <v>26</v>
      </c>
      <c r="B13" s="1" t="s">
        <v>226</v>
      </c>
      <c r="C13" s="7">
        <v>10250</v>
      </c>
      <c r="D13" s="3">
        <v>25753</v>
      </c>
      <c r="E13" s="10">
        <f t="shared" ca="1" si="0"/>
        <v>55.130555555555553</v>
      </c>
      <c r="F13" s="10" t="str">
        <f t="shared" si="1"/>
        <v>July</v>
      </c>
      <c r="G13" s="1" t="s">
        <v>8</v>
      </c>
      <c r="H13" s="1" t="s">
        <v>5</v>
      </c>
      <c r="I13" s="1" t="s">
        <v>9</v>
      </c>
      <c r="J13" s="1" t="str">
        <f t="shared" si="2"/>
        <v>No Aumento</v>
      </c>
      <c r="L13"/>
    </row>
    <row r="14" spans="1:14" x14ac:dyDescent="0.3">
      <c r="A14" s="1" t="s">
        <v>27</v>
      </c>
      <c r="B14" s="1" t="s">
        <v>221</v>
      </c>
      <c r="C14" s="7">
        <v>11660</v>
      </c>
      <c r="D14" s="3">
        <v>25819</v>
      </c>
      <c r="E14" s="10">
        <f t="shared" ca="1" si="0"/>
        <v>54.952777777777776</v>
      </c>
      <c r="F14" s="10" t="str">
        <f t="shared" si="1"/>
        <v>September</v>
      </c>
      <c r="G14" s="1" t="s">
        <v>8</v>
      </c>
      <c r="H14" s="1" t="s">
        <v>4</v>
      </c>
      <c r="I14" s="1" t="s">
        <v>9</v>
      </c>
      <c r="J14" s="1" t="str">
        <f t="shared" si="2"/>
        <v>No Aumento</v>
      </c>
      <c r="L14"/>
    </row>
    <row r="15" spans="1:14" x14ac:dyDescent="0.3">
      <c r="A15" s="1" t="s">
        <v>28</v>
      </c>
      <c r="B15" s="1" t="s">
        <v>227</v>
      </c>
      <c r="C15" s="7">
        <v>13200</v>
      </c>
      <c r="D15" s="3">
        <v>26008</v>
      </c>
      <c r="E15" s="10">
        <f t="shared" ca="1" si="0"/>
        <v>54.430555555555557</v>
      </c>
      <c r="F15" s="10" t="str">
        <f t="shared" si="1"/>
        <v>March</v>
      </c>
      <c r="G15" s="1" t="s">
        <v>3</v>
      </c>
      <c r="H15" s="1" t="s">
        <v>5</v>
      </c>
      <c r="I15" s="1" t="s">
        <v>9</v>
      </c>
      <c r="J15" s="1" t="str">
        <f t="shared" si="2"/>
        <v>Aumento</v>
      </c>
      <c r="L15"/>
    </row>
    <row r="16" spans="1:14" x14ac:dyDescent="0.3">
      <c r="A16" s="1" t="s">
        <v>29</v>
      </c>
      <c r="B16" s="1" t="s">
        <v>220</v>
      </c>
      <c r="C16" s="7">
        <v>4620</v>
      </c>
      <c r="D16" s="3">
        <v>26013</v>
      </c>
      <c r="E16" s="10">
        <f t="shared" ca="1" si="0"/>
        <v>54.416666666666664</v>
      </c>
      <c r="F16" s="10" t="str">
        <f t="shared" si="1"/>
        <v>March</v>
      </c>
      <c r="G16" s="1" t="s">
        <v>8</v>
      </c>
      <c r="H16" s="1" t="s">
        <v>12</v>
      </c>
      <c r="I16" s="1" t="s">
        <v>9</v>
      </c>
      <c r="J16" s="1" t="str">
        <f t="shared" si="2"/>
        <v>No Aumento</v>
      </c>
      <c r="L16"/>
    </row>
    <row r="17" spans="1:14" x14ac:dyDescent="0.3">
      <c r="A17" s="1" t="s">
        <v>30</v>
      </c>
      <c r="B17" s="1" t="s">
        <v>225</v>
      </c>
      <c r="C17" s="7">
        <v>5940</v>
      </c>
      <c r="D17" s="3">
        <v>26039</v>
      </c>
      <c r="E17" s="10">
        <f t="shared" ca="1" si="0"/>
        <v>54.347222222222221</v>
      </c>
      <c r="F17" s="10" t="str">
        <f t="shared" si="1"/>
        <v>April</v>
      </c>
      <c r="G17" s="1" t="s">
        <v>3</v>
      </c>
      <c r="H17" s="1" t="s">
        <v>12</v>
      </c>
      <c r="I17" s="1" t="s">
        <v>14</v>
      </c>
      <c r="J17" s="1" t="str">
        <f t="shared" si="2"/>
        <v>No Aumento</v>
      </c>
      <c r="L17"/>
    </row>
    <row r="18" spans="1:14" x14ac:dyDescent="0.3">
      <c r="A18" s="1" t="s">
        <v>31</v>
      </c>
      <c r="B18" s="1" t="s">
        <v>228</v>
      </c>
      <c r="C18" s="7">
        <v>5940</v>
      </c>
      <c r="D18" s="3">
        <v>26258</v>
      </c>
      <c r="E18" s="10">
        <f t="shared" ca="1" si="0"/>
        <v>53.75</v>
      </c>
      <c r="F18" s="10" t="str">
        <f t="shared" si="1"/>
        <v>November</v>
      </c>
      <c r="G18" s="1" t="s">
        <v>8</v>
      </c>
      <c r="H18" s="1" t="s">
        <v>4</v>
      </c>
      <c r="I18" s="1" t="s">
        <v>9</v>
      </c>
      <c r="J18" s="1" t="str">
        <f t="shared" si="2"/>
        <v>No Aumento</v>
      </c>
      <c r="L18"/>
    </row>
    <row r="19" spans="1:14" x14ac:dyDescent="0.3">
      <c r="A19" s="1" t="s">
        <v>32</v>
      </c>
      <c r="B19" s="1" t="s">
        <v>220</v>
      </c>
      <c r="C19" s="7">
        <v>3300</v>
      </c>
      <c r="D19" s="3">
        <v>26362</v>
      </c>
      <c r="E19" s="10">
        <f t="shared" ca="1" si="0"/>
        <v>53.463888888888889</v>
      </c>
      <c r="F19" s="10" t="str">
        <f t="shared" si="1"/>
        <v>March</v>
      </c>
      <c r="G19" s="1" t="s">
        <v>8</v>
      </c>
      <c r="H19" s="1" t="s">
        <v>12</v>
      </c>
      <c r="I19" s="1" t="s">
        <v>14</v>
      </c>
      <c r="J19" s="1" t="str">
        <f t="shared" si="2"/>
        <v>No Aumento</v>
      </c>
      <c r="L19"/>
      <c r="N19" t="s">
        <v>266</v>
      </c>
    </row>
    <row r="20" spans="1:14" x14ac:dyDescent="0.3">
      <c r="A20" s="1" t="s">
        <v>33</v>
      </c>
      <c r="B20" s="1" t="s">
        <v>220</v>
      </c>
      <c r="C20" s="7">
        <v>4400</v>
      </c>
      <c r="D20" s="3">
        <v>26406</v>
      </c>
      <c r="E20" s="10">
        <f t="shared" ca="1" si="0"/>
        <v>53.344444444444441</v>
      </c>
      <c r="F20" s="10" t="str">
        <f>TEXT(Table1[[#This Row],[Fecha de Nacimiento]],"mmmm")</f>
        <v>April</v>
      </c>
      <c r="G20" s="1" t="s">
        <v>3</v>
      </c>
      <c r="H20" s="1" t="s">
        <v>12</v>
      </c>
      <c r="I20" s="1" t="s">
        <v>10</v>
      </c>
      <c r="J20" s="1" t="str">
        <f t="shared" si="2"/>
        <v>No Aumento</v>
      </c>
      <c r="L20"/>
    </row>
    <row r="21" spans="1:14" x14ac:dyDescent="0.3">
      <c r="A21" s="1" t="s">
        <v>34</v>
      </c>
      <c r="B21" s="1" t="s">
        <v>220</v>
      </c>
      <c r="C21" s="7">
        <v>5280</v>
      </c>
      <c r="D21" s="3">
        <v>26423</v>
      </c>
      <c r="E21" s="10">
        <f t="shared" ca="1" si="0"/>
        <v>53.297222222222224</v>
      </c>
      <c r="F21" s="10"/>
      <c r="G21" s="1" t="s">
        <v>8</v>
      </c>
      <c r="H21" s="1" t="s">
        <v>12</v>
      </c>
      <c r="I21" s="1" t="s">
        <v>9</v>
      </c>
      <c r="J21" s="1" t="str">
        <f t="shared" si="2"/>
        <v>No Aumento</v>
      </c>
      <c r="L21"/>
    </row>
    <row r="22" spans="1:14" x14ac:dyDescent="0.3">
      <c r="A22" s="1" t="s">
        <v>35</v>
      </c>
      <c r="B22" s="1" t="s">
        <v>226</v>
      </c>
      <c r="C22" s="7">
        <v>11200</v>
      </c>
      <c r="D22" s="3">
        <v>26677</v>
      </c>
      <c r="E22" s="10">
        <f t="shared" ca="1" si="0"/>
        <v>52.605555555555554</v>
      </c>
      <c r="F22" s="10" t="str">
        <f>TEXT(Table1[[#This Row],[Fecha de Nacimiento]],"mmmm")</f>
        <v>January</v>
      </c>
      <c r="G22" s="1" t="s">
        <v>8</v>
      </c>
      <c r="H22" s="1" t="s">
        <v>5</v>
      </c>
      <c r="I22" s="1" t="s">
        <v>14</v>
      </c>
      <c r="J22" s="1" t="str">
        <f t="shared" si="2"/>
        <v>No Aumento</v>
      </c>
      <c r="L22"/>
    </row>
    <row r="23" spans="1:14" x14ac:dyDescent="0.3">
      <c r="A23" s="1" t="s">
        <v>36</v>
      </c>
      <c r="B23" s="1" t="s">
        <v>220</v>
      </c>
      <c r="C23" s="7">
        <v>4400</v>
      </c>
      <c r="D23" s="3">
        <v>26820</v>
      </c>
      <c r="E23" s="10">
        <f t="shared" ca="1" si="0"/>
        <v>52.211111111111109</v>
      </c>
      <c r="F23" s="10" t="str">
        <f>TEXT(Table1[[#This Row],[Fecha de Nacimiento]],"mmmm")</f>
        <v>June</v>
      </c>
      <c r="G23" s="1" t="s">
        <v>8</v>
      </c>
      <c r="H23" s="1" t="s">
        <v>12</v>
      </c>
      <c r="I23" s="1" t="s">
        <v>10</v>
      </c>
      <c r="J23" s="1" t="str">
        <f t="shared" si="2"/>
        <v>No Aumento</v>
      </c>
      <c r="L23"/>
    </row>
    <row r="24" spans="1:14" x14ac:dyDescent="0.3">
      <c r="A24" s="1" t="s">
        <v>37</v>
      </c>
      <c r="B24" s="1" t="s">
        <v>229</v>
      </c>
      <c r="C24" s="7">
        <v>6908</v>
      </c>
      <c r="D24" s="3">
        <v>26821</v>
      </c>
      <c r="E24" s="10">
        <f t="shared" ca="1" si="0"/>
        <v>52.208333333333336</v>
      </c>
      <c r="F24" s="10" t="str">
        <f>TEXT(Table1[[#This Row],[Fecha de Nacimiento]],"mmmm")</f>
        <v>June</v>
      </c>
      <c r="G24" s="1" t="s">
        <v>8</v>
      </c>
      <c r="H24" s="1" t="s">
        <v>4</v>
      </c>
      <c r="I24" s="1" t="s">
        <v>9</v>
      </c>
      <c r="J24" s="1" t="str">
        <f t="shared" si="2"/>
        <v>No Aumento</v>
      </c>
      <c r="L24"/>
    </row>
    <row r="25" spans="1:14" x14ac:dyDescent="0.3">
      <c r="A25" s="1" t="s">
        <v>38</v>
      </c>
      <c r="B25" s="1" t="s">
        <v>220</v>
      </c>
      <c r="C25" s="7">
        <v>3520</v>
      </c>
      <c r="D25" s="3">
        <v>26864</v>
      </c>
      <c r="E25" s="10">
        <f t="shared" ca="1" si="0"/>
        <v>52.088888888888889</v>
      </c>
      <c r="F25" s="10" t="str">
        <f>TEXT(Table1[[#This Row],[Fecha de Nacimiento]],"mmmm")</f>
        <v>July</v>
      </c>
      <c r="G25" s="1" t="s">
        <v>3</v>
      </c>
      <c r="H25" s="1" t="s">
        <v>12</v>
      </c>
      <c r="I25" s="1" t="s">
        <v>10</v>
      </c>
      <c r="J25" s="1" t="str">
        <f t="shared" si="2"/>
        <v>No Aumento</v>
      </c>
      <c r="L25"/>
    </row>
    <row r="26" spans="1:14" x14ac:dyDescent="0.3">
      <c r="A26" s="1" t="s">
        <v>39</v>
      </c>
      <c r="B26" s="1" t="s">
        <v>220</v>
      </c>
      <c r="C26" s="7">
        <v>3080</v>
      </c>
      <c r="D26" s="3">
        <v>26890</v>
      </c>
      <c r="E26" s="10">
        <f t="shared" ca="1" si="0"/>
        <v>52.019444444444446</v>
      </c>
      <c r="F26" s="10" t="str">
        <f>TEXT(Table1[[#This Row],[Fecha de Nacimiento]],"mmmm")</f>
        <v>August</v>
      </c>
      <c r="G26" s="1" t="s">
        <v>8</v>
      </c>
      <c r="H26" s="1" t="s">
        <v>12</v>
      </c>
      <c r="I26" s="1" t="s">
        <v>9</v>
      </c>
      <c r="J26" s="1" t="str">
        <f t="shared" si="2"/>
        <v>No Aumento</v>
      </c>
      <c r="L26"/>
    </row>
    <row r="27" spans="1:14" x14ac:dyDescent="0.3">
      <c r="A27" s="1" t="s">
        <v>40</v>
      </c>
      <c r="B27" s="1" t="s">
        <v>230</v>
      </c>
      <c r="C27" s="7">
        <v>11990</v>
      </c>
      <c r="D27" s="3">
        <v>26946</v>
      </c>
      <c r="E27" s="10">
        <f t="shared" ca="1" si="0"/>
        <v>51.866666666666667</v>
      </c>
      <c r="F27" s="10" t="str">
        <f>TEXT(Table1[[#This Row],[Fecha de Nacimiento]],"mmmm")</f>
        <v>October</v>
      </c>
      <c r="G27" s="1" t="s">
        <v>8</v>
      </c>
      <c r="H27" s="1" t="s">
        <v>12</v>
      </c>
      <c r="I27" s="1" t="s">
        <v>9</v>
      </c>
      <c r="J27" s="1" t="str">
        <f t="shared" si="2"/>
        <v>No Aumento</v>
      </c>
      <c r="L27"/>
    </row>
    <row r="28" spans="1:14" x14ac:dyDescent="0.3">
      <c r="A28" s="1" t="s">
        <v>41</v>
      </c>
      <c r="B28" s="1" t="s">
        <v>223</v>
      </c>
      <c r="C28" s="7">
        <v>4250</v>
      </c>
      <c r="D28" s="3">
        <v>27083</v>
      </c>
      <c r="E28" s="10">
        <f t="shared" ca="1" si="0"/>
        <v>51.494444444444447</v>
      </c>
      <c r="F28" s="10" t="str">
        <f>TEXT(Table1[[#This Row],[Fecha de Nacimiento]],"mmmm")</f>
        <v>February</v>
      </c>
      <c r="G28" s="1" t="s">
        <v>8</v>
      </c>
      <c r="H28" s="1" t="s">
        <v>5</v>
      </c>
      <c r="I28" s="1" t="s">
        <v>9</v>
      </c>
      <c r="J28" s="1" t="str">
        <f t="shared" si="2"/>
        <v>No Aumento</v>
      </c>
      <c r="L28"/>
    </row>
    <row r="29" spans="1:14" x14ac:dyDescent="0.3">
      <c r="A29" s="1" t="s">
        <v>42</v>
      </c>
      <c r="B29" s="1" t="s">
        <v>231</v>
      </c>
      <c r="C29" s="7">
        <v>10802</v>
      </c>
      <c r="D29" s="3">
        <v>27118</v>
      </c>
      <c r="E29" s="10">
        <f t="shared" ca="1" si="0"/>
        <v>51.391666666666666</v>
      </c>
      <c r="F29" s="10" t="str">
        <f>TEXT(Table1[[#This Row],[Fecha de Nacimiento]],"mmmm")</f>
        <v>March</v>
      </c>
      <c r="G29" s="1" t="s">
        <v>3</v>
      </c>
      <c r="H29" s="1" t="s">
        <v>4</v>
      </c>
      <c r="I29" s="1" t="s">
        <v>9</v>
      </c>
      <c r="J29" s="1" t="str">
        <f t="shared" si="2"/>
        <v>No Aumento</v>
      </c>
      <c r="L29"/>
    </row>
    <row r="30" spans="1:14" x14ac:dyDescent="0.3">
      <c r="A30" s="1" t="s">
        <v>43</v>
      </c>
      <c r="B30" s="1" t="s">
        <v>225</v>
      </c>
      <c r="C30" s="7">
        <v>5500</v>
      </c>
      <c r="D30" s="3">
        <v>27249</v>
      </c>
      <c r="E30" s="10">
        <f t="shared" ca="1" si="0"/>
        <v>51.036111111111111</v>
      </c>
      <c r="F30" s="10" t="str">
        <f>TEXT(Table1[[#This Row],[Fecha de Nacimiento]],"mmmm")</f>
        <v>August</v>
      </c>
      <c r="G30" s="1" t="s">
        <v>8</v>
      </c>
      <c r="H30" s="1" t="s">
        <v>12</v>
      </c>
      <c r="I30" s="1" t="s">
        <v>14</v>
      </c>
      <c r="J30" s="1" t="str">
        <f t="shared" si="2"/>
        <v>No Aumento</v>
      </c>
      <c r="L30"/>
    </row>
    <row r="31" spans="1:14" x14ac:dyDescent="0.3">
      <c r="A31" s="1" t="s">
        <v>44</v>
      </c>
      <c r="B31" s="1" t="s">
        <v>220</v>
      </c>
      <c r="C31" s="7">
        <v>3520</v>
      </c>
      <c r="D31" s="3">
        <v>27300</v>
      </c>
      <c r="E31" s="10">
        <f t="shared" ca="1" si="0"/>
        <v>50.897222222222226</v>
      </c>
      <c r="F31" s="10" t="str">
        <f>TEXT(Table1[[#This Row],[Fecha de Nacimiento]],"mmmm")</f>
        <v>September</v>
      </c>
      <c r="G31" s="1" t="s">
        <v>8</v>
      </c>
      <c r="H31" s="1" t="s">
        <v>12</v>
      </c>
      <c r="I31" s="1" t="s">
        <v>14</v>
      </c>
      <c r="J31" s="1" t="str">
        <f t="shared" si="2"/>
        <v>No Aumento</v>
      </c>
      <c r="L31"/>
    </row>
    <row r="32" spans="1:14" x14ac:dyDescent="0.3">
      <c r="A32" s="1" t="s">
        <v>45</v>
      </c>
      <c r="B32" s="1" t="s">
        <v>220</v>
      </c>
      <c r="C32" s="7">
        <v>4400</v>
      </c>
      <c r="D32" s="3">
        <v>27331</v>
      </c>
      <c r="E32" s="10">
        <f t="shared" ca="1" si="0"/>
        <v>50.81111111111111</v>
      </c>
      <c r="F32" s="10" t="str">
        <f>TEXT(Table1[[#This Row],[Fecha de Nacimiento]],"mmmm")</f>
        <v>October</v>
      </c>
      <c r="G32" s="1" t="s">
        <v>8</v>
      </c>
      <c r="H32" s="1" t="s">
        <v>12</v>
      </c>
      <c r="I32" s="1" t="s">
        <v>9</v>
      </c>
      <c r="J32" s="1" t="str">
        <f t="shared" si="2"/>
        <v>No Aumento</v>
      </c>
      <c r="L32"/>
    </row>
    <row r="33" spans="1:12" x14ac:dyDescent="0.3">
      <c r="A33" s="1" t="s">
        <v>46</v>
      </c>
      <c r="B33" s="1" t="s">
        <v>225</v>
      </c>
      <c r="C33" s="7">
        <v>5500</v>
      </c>
      <c r="D33" s="3">
        <v>27507</v>
      </c>
      <c r="E33" s="10">
        <f t="shared" ca="1" si="0"/>
        <v>50.327777777777776</v>
      </c>
      <c r="F33" s="10" t="str">
        <f>TEXT(Table1[[#This Row],[Fecha de Nacimiento]],"mmmm")</f>
        <v>April</v>
      </c>
      <c r="G33" s="1" t="s">
        <v>8</v>
      </c>
      <c r="H33" s="1" t="s">
        <v>12</v>
      </c>
      <c r="I33" s="1" t="s">
        <v>14</v>
      </c>
      <c r="J33" s="1" t="str">
        <f t="shared" si="2"/>
        <v>No Aumento</v>
      </c>
      <c r="L33"/>
    </row>
    <row r="34" spans="1:12" x14ac:dyDescent="0.3">
      <c r="A34" s="1" t="s">
        <v>47</v>
      </c>
      <c r="B34" s="1" t="s">
        <v>232</v>
      </c>
      <c r="C34" s="7">
        <v>10500</v>
      </c>
      <c r="D34" s="3">
        <v>27508</v>
      </c>
      <c r="E34" s="10">
        <f t="shared" ca="1" si="0"/>
        <v>50.325000000000003</v>
      </c>
      <c r="F34" s="10" t="str">
        <f>TEXT(Table1[[#This Row],[Fecha de Nacimiento]],"mmmm")</f>
        <v>April</v>
      </c>
      <c r="G34" s="1" t="s">
        <v>8</v>
      </c>
      <c r="H34" s="1" t="s">
        <v>4</v>
      </c>
      <c r="I34" s="1" t="s">
        <v>9</v>
      </c>
      <c r="J34" s="1" t="str">
        <f t="shared" si="2"/>
        <v>No Aumento</v>
      </c>
      <c r="L34"/>
    </row>
    <row r="35" spans="1:12" x14ac:dyDescent="0.3">
      <c r="A35" s="1" t="s">
        <v>48</v>
      </c>
      <c r="B35" s="1" t="s">
        <v>233</v>
      </c>
      <c r="C35" s="7">
        <v>6644</v>
      </c>
      <c r="D35" s="3">
        <v>27607</v>
      </c>
      <c r="E35" s="10">
        <f t="shared" ca="1" si="0"/>
        <v>50.055555555555557</v>
      </c>
      <c r="F35" s="10" t="str">
        <f>TEXT(Table1[[#This Row],[Fecha de Nacimiento]],"mmmm")</f>
        <v>August</v>
      </c>
      <c r="G35" s="1" t="s">
        <v>3</v>
      </c>
      <c r="H35" s="1" t="s">
        <v>4</v>
      </c>
      <c r="I35" s="1" t="s">
        <v>9</v>
      </c>
      <c r="J35" s="1" t="str">
        <f t="shared" si="2"/>
        <v>No Aumento</v>
      </c>
      <c r="L35"/>
    </row>
    <row r="36" spans="1:12" x14ac:dyDescent="0.3">
      <c r="A36" s="1" t="s">
        <v>49</v>
      </c>
      <c r="B36" s="1" t="s">
        <v>234</v>
      </c>
      <c r="C36" s="7">
        <v>14080</v>
      </c>
      <c r="D36" s="3">
        <v>27643</v>
      </c>
      <c r="E36" s="10">
        <f t="shared" ca="1" si="0"/>
        <v>49.958333333333336</v>
      </c>
      <c r="F36" s="10" t="str">
        <f>TEXT(Table1[[#This Row],[Fecha de Nacimiento]],"mmmm")</f>
        <v>September</v>
      </c>
      <c r="G36" s="1" t="s">
        <v>8</v>
      </c>
      <c r="H36" s="1" t="s">
        <v>4</v>
      </c>
      <c r="I36" s="1" t="s">
        <v>14</v>
      </c>
      <c r="J36" s="1" t="str">
        <f t="shared" si="2"/>
        <v>Aumento</v>
      </c>
      <c r="L36"/>
    </row>
    <row r="37" spans="1:12" x14ac:dyDescent="0.3">
      <c r="A37" s="1" t="s">
        <v>50</v>
      </c>
      <c r="B37" s="1" t="s">
        <v>220</v>
      </c>
      <c r="C37" s="7">
        <v>4840</v>
      </c>
      <c r="D37" s="3">
        <v>27693</v>
      </c>
      <c r="E37" s="10">
        <f t="shared" ca="1" si="0"/>
        <v>49.819444444444443</v>
      </c>
      <c r="F37" s="10" t="str">
        <f>TEXT(Table1[[#This Row],[Fecha de Nacimiento]],"mmmm")</f>
        <v>October</v>
      </c>
      <c r="G37" s="1" t="s">
        <v>8</v>
      </c>
      <c r="H37" s="1" t="s">
        <v>12</v>
      </c>
      <c r="I37" s="1" t="s">
        <v>9</v>
      </c>
      <c r="J37" s="1" t="str">
        <f t="shared" si="2"/>
        <v>No Aumento</v>
      </c>
      <c r="L37"/>
    </row>
    <row r="38" spans="1:12" x14ac:dyDescent="0.3">
      <c r="A38" s="1" t="s">
        <v>51</v>
      </c>
      <c r="B38" s="1" t="s">
        <v>220</v>
      </c>
      <c r="C38" s="7">
        <v>4840</v>
      </c>
      <c r="D38" s="3">
        <v>27699</v>
      </c>
      <c r="E38" s="10">
        <f t="shared" ca="1" si="0"/>
        <v>49.805555555555557</v>
      </c>
      <c r="F38" s="10" t="str">
        <f>TEXT(Table1[[#This Row],[Fecha de Nacimiento]],"mmmm")</f>
        <v>November</v>
      </c>
      <c r="G38" s="1" t="s">
        <v>8</v>
      </c>
      <c r="H38" s="1" t="s">
        <v>12</v>
      </c>
      <c r="I38" s="1" t="s">
        <v>9</v>
      </c>
      <c r="J38" s="1" t="str">
        <f t="shared" si="2"/>
        <v>No Aumento</v>
      </c>
      <c r="L38"/>
    </row>
    <row r="39" spans="1:12" x14ac:dyDescent="0.3">
      <c r="A39" s="1" t="s">
        <v>52</v>
      </c>
      <c r="B39" s="1" t="s">
        <v>224</v>
      </c>
      <c r="C39" s="7">
        <v>8600</v>
      </c>
      <c r="D39" s="3">
        <v>27703</v>
      </c>
      <c r="E39" s="10">
        <f t="shared" ca="1" si="0"/>
        <v>49.794444444444444</v>
      </c>
      <c r="F39" s="10" t="str">
        <f>TEXT(Table1[[#This Row],[Fecha de Nacimiento]],"mmmm")</f>
        <v>November</v>
      </c>
      <c r="G39" s="1" t="s">
        <v>8</v>
      </c>
      <c r="H39" s="1" t="s">
        <v>5</v>
      </c>
      <c r="I39" s="1" t="s">
        <v>9</v>
      </c>
      <c r="J39" s="1" t="str">
        <f t="shared" si="2"/>
        <v>No Aumento</v>
      </c>
      <c r="L39"/>
    </row>
    <row r="40" spans="1:12" x14ac:dyDescent="0.3">
      <c r="A40" s="1" t="s">
        <v>53</v>
      </c>
      <c r="B40" s="1" t="s">
        <v>220</v>
      </c>
      <c r="C40" s="7">
        <v>3520</v>
      </c>
      <c r="D40" s="3">
        <v>27749</v>
      </c>
      <c r="E40" s="10">
        <f t="shared" ca="1" si="0"/>
        <v>49.666666666666664</v>
      </c>
      <c r="F40" s="10" t="str">
        <f>TEXT(Table1[[#This Row],[Fecha de Nacimiento]],"mmmm")</f>
        <v>December</v>
      </c>
      <c r="G40" s="1" t="s">
        <v>8</v>
      </c>
      <c r="H40" s="1" t="s">
        <v>12</v>
      </c>
      <c r="I40" s="1" t="s">
        <v>9</v>
      </c>
      <c r="J40" s="1" t="str">
        <f t="shared" si="2"/>
        <v>No Aumento</v>
      </c>
      <c r="L40"/>
    </row>
    <row r="41" spans="1:12" x14ac:dyDescent="0.3">
      <c r="A41" s="1" t="s">
        <v>54</v>
      </c>
      <c r="B41" s="1" t="s">
        <v>235</v>
      </c>
      <c r="C41" s="7">
        <v>11150</v>
      </c>
      <c r="D41" s="3">
        <v>28369</v>
      </c>
      <c r="E41" s="10">
        <f t="shared" ca="1" si="0"/>
        <v>47.972222222222221</v>
      </c>
      <c r="F41" s="10" t="str">
        <f>TEXT(Table1[[#This Row],[Fecha de Nacimiento]],"mmmm")</f>
        <v>September</v>
      </c>
      <c r="G41" s="1" t="s">
        <v>3</v>
      </c>
      <c r="H41" s="1" t="s">
        <v>4</v>
      </c>
      <c r="I41" s="1" t="s">
        <v>9</v>
      </c>
      <c r="J41" s="1" t="str">
        <f t="shared" si="2"/>
        <v>No Aumento</v>
      </c>
      <c r="L41"/>
    </row>
    <row r="42" spans="1:12" x14ac:dyDescent="0.3">
      <c r="A42" s="1" t="s">
        <v>55</v>
      </c>
      <c r="B42" s="1" t="s">
        <v>220</v>
      </c>
      <c r="C42" s="7">
        <v>4400</v>
      </c>
      <c r="D42" s="3">
        <v>28437</v>
      </c>
      <c r="E42" s="10">
        <f t="shared" ca="1" si="0"/>
        <v>47.786111111111111</v>
      </c>
      <c r="F42" s="10" t="str">
        <f>TEXT(Table1[[#This Row],[Fecha de Nacimiento]],"mmmm")</f>
        <v>November</v>
      </c>
      <c r="G42" s="1" t="s">
        <v>8</v>
      </c>
      <c r="H42" s="1" t="s">
        <v>12</v>
      </c>
      <c r="I42" s="1" t="s">
        <v>9</v>
      </c>
      <c r="J42" s="1" t="str">
        <f t="shared" si="2"/>
        <v>No Aumento</v>
      </c>
      <c r="L42"/>
    </row>
    <row r="43" spans="1:12" x14ac:dyDescent="0.3">
      <c r="A43" s="1" t="s">
        <v>56</v>
      </c>
      <c r="B43" s="1" t="s">
        <v>236</v>
      </c>
      <c r="C43" s="7">
        <v>12100</v>
      </c>
      <c r="D43" s="3">
        <v>28449</v>
      </c>
      <c r="E43" s="10">
        <f t="shared" ca="1" si="0"/>
        <v>47.75277777777778</v>
      </c>
      <c r="F43" s="10" t="str">
        <f>TEXT(Table1[[#This Row],[Fecha de Nacimiento]],"mmmm")</f>
        <v>November</v>
      </c>
      <c r="G43" s="1" t="s">
        <v>8</v>
      </c>
      <c r="H43" s="1" t="s">
        <v>4</v>
      </c>
      <c r="I43" s="1" t="s">
        <v>9</v>
      </c>
      <c r="J43" s="1" t="str">
        <f t="shared" si="2"/>
        <v>Aumento</v>
      </c>
      <c r="L43"/>
    </row>
    <row r="44" spans="1:12" x14ac:dyDescent="0.3">
      <c r="A44" s="1" t="s">
        <v>57</v>
      </c>
      <c r="B44" s="1" t="s">
        <v>234</v>
      </c>
      <c r="C44" s="7">
        <v>13640</v>
      </c>
      <c r="D44" s="3">
        <v>28613</v>
      </c>
      <c r="E44" s="10">
        <f t="shared" ca="1" si="0"/>
        <v>47.3</v>
      </c>
      <c r="F44" s="10" t="str">
        <f>TEXT(Table1[[#This Row],[Fecha de Nacimiento]],"mmmm")</f>
        <v>May</v>
      </c>
      <c r="G44" s="1" t="s">
        <v>8</v>
      </c>
      <c r="H44" s="1" t="s">
        <v>4</v>
      </c>
      <c r="I44" s="1" t="s">
        <v>9</v>
      </c>
      <c r="J44" s="1" t="str">
        <f t="shared" si="2"/>
        <v>Aumento</v>
      </c>
      <c r="L44"/>
    </row>
    <row r="45" spans="1:12" x14ac:dyDescent="0.3">
      <c r="A45" s="1" t="s">
        <v>58</v>
      </c>
      <c r="B45" s="1" t="s">
        <v>220</v>
      </c>
      <c r="C45" s="7">
        <v>3740</v>
      </c>
      <c r="D45" s="3">
        <v>28755</v>
      </c>
      <c r="E45" s="10">
        <f t="shared" ca="1" si="0"/>
        <v>46.913888888888891</v>
      </c>
      <c r="F45" s="10" t="str">
        <f>TEXT(Table1[[#This Row],[Fecha de Nacimiento]],"mmmm")</f>
        <v>September</v>
      </c>
      <c r="G45" s="1" t="s">
        <v>3</v>
      </c>
      <c r="H45" s="1" t="s">
        <v>12</v>
      </c>
      <c r="I45" s="1" t="s">
        <v>9</v>
      </c>
      <c r="J45" s="1" t="str">
        <f t="shared" si="2"/>
        <v>No Aumento</v>
      </c>
      <c r="L45"/>
    </row>
    <row r="46" spans="1:12" x14ac:dyDescent="0.3">
      <c r="A46" s="1" t="s">
        <v>59</v>
      </c>
      <c r="B46" s="1" t="s">
        <v>230</v>
      </c>
      <c r="C46" s="7">
        <v>11220</v>
      </c>
      <c r="D46" s="3">
        <v>28821</v>
      </c>
      <c r="E46" s="10">
        <f t="shared" ca="1" si="0"/>
        <v>46.733333333333334</v>
      </c>
      <c r="F46" s="10" t="str">
        <f>TEXT(Table1[[#This Row],[Fecha de Nacimiento]],"mmmm")</f>
        <v>November</v>
      </c>
      <c r="G46" s="1" t="s">
        <v>8</v>
      </c>
      <c r="H46" s="1" t="s">
        <v>12</v>
      </c>
      <c r="I46" s="1" t="s">
        <v>9</v>
      </c>
      <c r="J46" s="1" t="str">
        <f t="shared" si="2"/>
        <v>No Aumento</v>
      </c>
      <c r="L46"/>
    </row>
    <row r="47" spans="1:12" x14ac:dyDescent="0.3">
      <c r="A47" s="1" t="s">
        <v>60</v>
      </c>
      <c r="B47" s="1" t="s">
        <v>220</v>
      </c>
      <c r="C47" s="7">
        <v>4840</v>
      </c>
      <c r="D47" s="3">
        <v>28824</v>
      </c>
      <c r="E47" s="10">
        <f t="shared" ca="1" si="0"/>
        <v>46.725000000000001</v>
      </c>
      <c r="F47" s="10" t="str">
        <f>TEXT(Table1[[#This Row],[Fecha de Nacimiento]],"mmmm")</f>
        <v>November</v>
      </c>
      <c r="G47" s="1" t="s">
        <v>3</v>
      </c>
      <c r="H47" s="1" t="s">
        <v>12</v>
      </c>
      <c r="I47" s="1" t="s">
        <v>14</v>
      </c>
      <c r="J47" s="1" t="str">
        <f t="shared" si="2"/>
        <v>No Aumento</v>
      </c>
      <c r="L47"/>
    </row>
    <row r="48" spans="1:12" x14ac:dyDescent="0.3">
      <c r="A48" s="1" t="s">
        <v>61</v>
      </c>
      <c r="B48" s="1" t="s">
        <v>229</v>
      </c>
      <c r="C48" s="7">
        <v>6048</v>
      </c>
      <c r="D48" s="3">
        <v>28826</v>
      </c>
      <c r="E48" s="10">
        <f t="shared" ca="1" si="0"/>
        <v>46.719444444444441</v>
      </c>
      <c r="F48" s="10" t="str">
        <f>TEXT(Table1[[#This Row],[Fecha de Nacimiento]],"mmmm")</f>
        <v>December</v>
      </c>
      <c r="G48" s="1" t="s">
        <v>3</v>
      </c>
      <c r="H48" s="1" t="s">
        <v>4</v>
      </c>
      <c r="I48" s="1" t="s">
        <v>9</v>
      </c>
      <c r="J48" s="1" t="str">
        <f t="shared" si="2"/>
        <v>No Aumento</v>
      </c>
      <c r="L48"/>
    </row>
    <row r="49" spans="1:12" x14ac:dyDescent="0.3">
      <c r="A49" s="1" t="s">
        <v>62</v>
      </c>
      <c r="B49" s="1" t="s">
        <v>225</v>
      </c>
      <c r="C49" s="7">
        <v>6380</v>
      </c>
      <c r="D49" s="3">
        <v>28866</v>
      </c>
      <c r="E49" s="10">
        <f t="shared" ca="1" si="0"/>
        <v>46.611111111111114</v>
      </c>
      <c r="F49" s="10" t="str">
        <f>TEXT(Table1[[#This Row],[Fecha de Nacimiento]],"mmmm")</f>
        <v>January</v>
      </c>
      <c r="G49" s="1" t="s">
        <v>8</v>
      </c>
      <c r="H49" s="1" t="s">
        <v>12</v>
      </c>
      <c r="I49" s="1" t="s">
        <v>9</v>
      </c>
      <c r="J49" s="1" t="str">
        <f t="shared" si="2"/>
        <v>No Aumento</v>
      </c>
      <c r="L49"/>
    </row>
    <row r="50" spans="1:12" x14ac:dyDescent="0.3">
      <c r="A50" s="1" t="s">
        <v>63</v>
      </c>
      <c r="B50" s="1" t="s">
        <v>220</v>
      </c>
      <c r="C50" s="7">
        <v>4400</v>
      </c>
      <c r="D50" s="3">
        <v>28890</v>
      </c>
      <c r="E50" s="10">
        <f t="shared" ca="1" si="0"/>
        <v>46.547222222222224</v>
      </c>
      <c r="F50" s="10" t="str">
        <f>TEXT(Table1[[#This Row],[Fecha de Nacimiento]],"mmmm")</f>
        <v>February</v>
      </c>
      <c r="G50" s="1" t="s">
        <v>3</v>
      </c>
      <c r="H50" s="1" t="s">
        <v>12</v>
      </c>
      <c r="I50" s="1" t="s">
        <v>14</v>
      </c>
      <c r="J50" s="1" t="str">
        <f t="shared" si="2"/>
        <v>No Aumento</v>
      </c>
      <c r="L50"/>
    </row>
    <row r="51" spans="1:12" x14ac:dyDescent="0.3">
      <c r="A51" s="1" t="s">
        <v>64</v>
      </c>
      <c r="B51" s="1" t="s">
        <v>220</v>
      </c>
      <c r="C51" s="7">
        <v>3740</v>
      </c>
      <c r="D51" s="3">
        <v>28986</v>
      </c>
      <c r="E51" s="10">
        <f t="shared" ca="1" si="0"/>
        <v>46.277777777777779</v>
      </c>
      <c r="F51" s="10" t="str">
        <f>TEXT(Table1[[#This Row],[Fecha de Nacimiento]],"mmmm")</f>
        <v>May</v>
      </c>
      <c r="G51" s="1" t="s">
        <v>8</v>
      </c>
      <c r="H51" s="1" t="s">
        <v>12</v>
      </c>
      <c r="I51" s="1" t="s">
        <v>9</v>
      </c>
      <c r="J51" s="1" t="str">
        <f t="shared" si="2"/>
        <v>No Aumento</v>
      </c>
      <c r="L51"/>
    </row>
    <row r="52" spans="1:12" x14ac:dyDescent="0.3">
      <c r="A52" s="1" t="s">
        <v>65</v>
      </c>
      <c r="B52" s="1" t="s">
        <v>220</v>
      </c>
      <c r="C52" s="7">
        <v>4675</v>
      </c>
      <c r="D52" s="3">
        <v>29005</v>
      </c>
      <c r="E52" s="10">
        <f t="shared" ca="1" si="0"/>
        <v>46.225000000000001</v>
      </c>
      <c r="F52" s="10" t="str">
        <f>TEXT(Table1[[#This Row],[Fecha de Nacimiento]],"mmmm")</f>
        <v>May</v>
      </c>
      <c r="G52" s="1" t="s">
        <v>8</v>
      </c>
      <c r="H52" s="1" t="s">
        <v>12</v>
      </c>
      <c r="I52" s="1" t="s">
        <v>9</v>
      </c>
      <c r="J52" s="1" t="str">
        <f t="shared" si="2"/>
        <v>No Aumento</v>
      </c>
      <c r="L52"/>
    </row>
    <row r="53" spans="1:12" x14ac:dyDescent="0.3">
      <c r="A53" s="1" t="s">
        <v>66</v>
      </c>
      <c r="B53" s="1" t="s">
        <v>220</v>
      </c>
      <c r="C53" s="7">
        <v>5060</v>
      </c>
      <c r="D53" s="3">
        <v>29046</v>
      </c>
      <c r="E53" s="10">
        <f t="shared" ca="1" si="0"/>
        <v>46.113888888888887</v>
      </c>
      <c r="F53" s="10" t="str">
        <f>TEXT(Table1[[#This Row],[Fecha de Nacimiento]],"mmmm")</f>
        <v>July</v>
      </c>
      <c r="G53" s="1" t="s">
        <v>3</v>
      </c>
      <c r="H53" s="1" t="s">
        <v>12</v>
      </c>
      <c r="I53" s="1" t="s">
        <v>9</v>
      </c>
      <c r="J53" s="1" t="str">
        <f t="shared" si="2"/>
        <v>No Aumento</v>
      </c>
      <c r="L53"/>
    </row>
    <row r="54" spans="1:12" x14ac:dyDescent="0.3">
      <c r="A54" s="1" t="s">
        <v>67</v>
      </c>
      <c r="B54" s="1" t="s">
        <v>224</v>
      </c>
      <c r="C54" s="7">
        <v>8600</v>
      </c>
      <c r="D54" s="3">
        <v>29102</v>
      </c>
      <c r="E54" s="10">
        <f t="shared" ca="1" si="0"/>
        <v>45.963888888888889</v>
      </c>
      <c r="F54" s="10" t="str">
        <f>TEXT(Table1[[#This Row],[Fecha de Nacimiento]],"mmmm")</f>
        <v>September</v>
      </c>
      <c r="G54" s="1" t="s">
        <v>3</v>
      </c>
      <c r="H54" s="1" t="s">
        <v>5</v>
      </c>
      <c r="I54" s="1" t="s">
        <v>10</v>
      </c>
      <c r="J54" s="1" t="str">
        <f t="shared" si="2"/>
        <v>No Aumento</v>
      </c>
      <c r="L54"/>
    </row>
    <row r="55" spans="1:12" x14ac:dyDescent="0.3">
      <c r="A55" s="1" t="s">
        <v>68</v>
      </c>
      <c r="B55" s="1" t="s">
        <v>220</v>
      </c>
      <c r="C55" s="7">
        <v>5280</v>
      </c>
      <c r="D55" s="3">
        <v>29107</v>
      </c>
      <c r="E55" s="10">
        <f t="shared" ca="1" si="0"/>
        <v>45.95</v>
      </c>
      <c r="F55" s="10" t="str">
        <f>TEXT(Table1[[#This Row],[Fecha de Nacimiento]],"mmmm")</f>
        <v>September</v>
      </c>
      <c r="G55" s="1" t="s">
        <v>3</v>
      </c>
      <c r="H55" s="1" t="s">
        <v>12</v>
      </c>
      <c r="I55" s="1" t="s">
        <v>9</v>
      </c>
      <c r="J55" s="1" t="str">
        <f t="shared" si="2"/>
        <v>No Aumento</v>
      </c>
      <c r="L55"/>
    </row>
    <row r="56" spans="1:12" x14ac:dyDescent="0.3">
      <c r="A56" s="1" t="s">
        <v>69</v>
      </c>
      <c r="B56" s="1" t="s">
        <v>223</v>
      </c>
      <c r="C56" s="7">
        <v>5500</v>
      </c>
      <c r="D56" s="3">
        <v>29261</v>
      </c>
      <c r="E56" s="10">
        <f t="shared" ca="1" si="0"/>
        <v>45.530555555555559</v>
      </c>
      <c r="F56" s="10" t="str">
        <f>TEXT(Table1[[#This Row],[Fecha de Nacimiento]],"mmmm")</f>
        <v>February</v>
      </c>
      <c r="G56" s="1" t="s">
        <v>8</v>
      </c>
      <c r="H56" s="1" t="s">
        <v>5</v>
      </c>
      <c r="I56" s="1" t="s">
        <v>10</v>
      </c>
      <c r="J56" s="1" t="str">
        <f t="shared" si="2"/>
        <v>No Aumento</v>
      </c>
      <c r="L56"/>
    </row>
    <row r="57" spans="1:12" x14ac:dyDescent="0.3">
      <c r="A57" s="1" t="s">
        <v>70</v>
      </c>
      <c r="B57" s="1" t="s">
        <v>224</v>
      </c>
      <c r="C57" s="7">
        <v>7500</v>
      </c>
      <c r="D57" s="3">
        <v>29407</v>
      </c>
      <c r="E57" s="10">
        <f t="shared" ca="1" si="0"/>
        <v>45.12777777777778</v>
      </c>
      <c r="F57" s="10" t="str">
        <f>TEXT(Table1[[#This Row],[Fecha de Nacimiento]],"mmmm")</f>
        <v>July</v>
      </c>
      <c r="G57" s="1" t="s">
        <v>3</v>
      </c>
      <c r="H57" s="1" t="s">
        <v>5</v>
      </c>
      <c r="I57" s="1" t="s">
        <v>9</v>
      </c>
      <c r="J57" s="1" t="str">
        <f t="shared" si="2"/>
        <v>No Aumento</v>
      </c>
      <c r="L57"/>
    </row>
    <row r="58" spans="1:12" x14ac:dyDescent="0.3">
      <c r="A58" s="1" t="s">
        <v>71</v>
      </c>
      <c r="B58" s="1" t="s">
        <v>230</v>
      </c>
      <c r="C58" s="7">
        <v>11440</v>
      </c>
      <c r="D58" s="3">
        <v>29492</v>
      </c>
      <c r="E58" s="10">
        <f t="shared" ca="1" si="0"/>
        <v>44.897222222222226</v>
      </c>
      <c r="F58" s="10" t="str">
        <f>TEXT(Table1[[#This Row],[Fecha de Nacimiento]],"mmmm")</f>
        <v>September</v>
      </c>
      <c r="G58" s="1" t="s">
        <v>3</v>
      </c>
      <c r="H58" s="1" t="s">
        <v>12</v>
      </c>
      <c r="I58" s="1" t="s">
        <v>9</v>
      </c>
      <c r="J58" s="1" t="str">
        <f t="shared" si="2"/>
        <v>No Aumento</v>
      </c>
      <c r="L58"/>
    </row>
    <row r="59" spans="1:12" x14ac:dyDescent="0.3">
      <c r="A59" s="1" t="s">
        <v>72</v>
      </c>
      <c r="B59" s="1" t="s">
        <v>220</v>
      </c>
      <c r="C59" s="7">
        <v>3344</v>
      </c>
      <c r="D59" s="3">
        <v>29495</v>
      </c>
      <c r="E59" s="10">
        <f t="shared" ca="1" si="0"/>
        <v>44.888888888888886</v>
      </c>
      <c r="F59" s="10" t="str">
        <f>TEXT(Table1[[#This Row],[Fecha de Nacimiento]],"mmmm")</f>
        <v>October</v>
      </c>
      <c r="G59" s="1" t="s">
        <v>8</v>
      </c>
      <c r="H59" s="1" t="s">
        <v>12</v>
      </c>
      <c r="I59" s="1" t="s">
        <v>9</v>
      </c>
      <c r="J59" s="1" t="str">
        <f t="shared" si="2"/>
        <v>No Aumento</v>
      </c>
      <c r="L59"/>
    </row>
    <row r="60" spans="1:12" x14ac:dyDescent="0.3">
      <c r="A60" s="1" t="s">
        <v>73</v>
      </c>
      <c r="B60" s="1" t="s">
        <v>220</v>
      </c>
      <c r="C60" s="7">
        <v>4400</v>
      </c>
      <c r="D60" s="3">
        <v>29514</v>
      </c>
      <c r="E60" s="10">
        <f t="shared" ca="1" si="0"/>
        <v>44.836111111111109</v>
      </c>
      <c r="F60" s="10" t="str">
        <f>TEXT(Table1[[#This Row],[Fecha de Nacimiento]],"mmmm")</f>
        <v>October</v>
      </c>
      <c r="G60" s="1" t="s">
        <v>3</v>
      </c>
      <c r="H60" s="1" t="s">
        <v>12</v>
      </c>
      <c r="I60" s="1" t="s">
        <v>9</v>
      </c>
      <c r="J60" s="1" t="str">
        <f t="shared" si="2"/>
        <v>No Aumento</v>
      </c>
      <c r="L60"/>
    </row>
    <row r="61" spans="1:12" x14ac:dyDescent="0.3">
      <c r="A61" s="1" t="s">
        <v>74</v>
      </c>
      <c r="B61" s="1" t="s">
        <v>230</v>
      </c>
      <c r="C61" s="7">
        <v>11660</v>
      </c>
      <c r="D61" s="3">
        <v>29570</v>
      </c>
      <c r="E61" s="10">
        <f t="shared" ca="1" si="0"/>
        <v>44.68333333333333</v>
      </c>
      <c r="F61" s="10" t="str">
        <f>TEXT(Table1[[#This Row],[Fecha de Nacimiento]],"mmmm")</f>
        <v>December</v>
      </c>
      <c r="G61" s="1" t="s">
        <v>8</v>
      </c>
      <c r="H61" s="1" t="s">
        <v>12</v>
      </c>
      <c r="I61" s="1" t="s">
        <v>10</v>
      </c>
      <c r="J61" s="1" t="str">
        <f t="shared" si="2"/>
        <v>No Aumento</v>
      </c>
      <c r="L61"/>
    </row>
    <row r="62" spans="1:12" x14ac:dyDescent="0.3">
      <c r="A62" s="1" t="s">
        <v>75</v>
      </c>
      <c r="B62" s="1" t="s">
        <v>220</v>
      </c>
      <c r="C62" s="7">
        <v>4180</v>
      </c>
      <c r="D62" s="3">
        <v>29603</v>
      </c>
      <c r="E62" s="10">
        <f t="shared" ca="1" si="0"/>
        <v>44.594444444444441</v>
      </c>
      <c r="F62" s="10" t="str">
        <f>TEXT(Table1[[#This Row],[Fecha de Nacimiento]],"mmmm")</f>
        <v>January</v>
      </c>
      <c r="G62" s="1" t="s">
        <v>8</v>
      </c>
      <c r="H62" s="1" t="s">
        <v>12</v>
      </c>
      <c r="I62" s="1" t="s">
        <v>9</v>
      </c>
      <c r="J62" s="1" t="str">
        <f t="shared" si="2"/>
        <v>No Aumento</v>
      </c>
      <c r="L62"/>
    </row>
    <row r="63" spans="1:12" x14ac:dyDescent="0.3">
      <c r="A63" s="1" t="s">
        <v>76</v>
      </c>
      <c r="B63" s="1" t="s">
        <v>225</v>
      </c>
      <c r="C63" s="7">
        <v>5720</v>
      </c>
      <c r="D63" s="3">
        <v>29656</v>
      </c>
      <c r="E63" s="10">
        <f t="shared" ca="1" si="0"/>
        <v>44.444444444444443</v>
      </c>
      <c r="F63" s="10" t="str">
        <f>TEXT(Table1[[#This Row],[Fecha de Nacimiento]],"mmmm")</f>
        <v>March</v>
      </c>
      <c r="G63" s="1" t="s">
        <v>8</v>
      </c>
      <c r="H63" s="1" t="s">
        <v>12</v>
      </c>
      <c r="I63" s="1" t="s">
        <v>9</v>
      </c>
      <c r="J63" s="1" t="str">
        <f t="shared" si="2"/>
        <v>No Aumento</v>
      </c>
      <c r="L63"/>
    </row>
    <row r="64" spans="1:12" x14ac:dyDescent="0.3">
      <c r="A64" s="1" t="s">
        <v>77</v>
      </c>
      <c r="B64" s="1" t="s">
        <v>225</v>
      </c>
      <c r="C64" s="7">
        <v>5060</v>
      </c>
      <c r="D64" s="3">
        <v>29822</v>
      </c>
      <c r="E64" s="10">
        <f t="shared" ca="1" si="0"/>
        <v>43.991666666666667</v>
      </c>
      <c r="F64" s="10" t="str">
        <f>TEXT(Table1[[#This Row],[Fecha de Nacimiento]],"mmmm")</f>
        <v>August</v>
      </c>
      <c r="G64" s="1" t="s">
        <v>3</v>
      </c>
      <c r="H64" s="1" t="s">
        <v>12</v>
      </c>
      <c r="I64" s="1" t="s">
        <v>9</v>
      </c>
      <c r="J64" s="1" t="str">
        <f t="shared" si="2"/>
        <v>No Aumento</v>
      </c>
      <c r="L64"/>
    </row>
    <row r="65" spans="1:12" x14ac:dyDescent="0.3">
      <c r="A65" s="1" t="s">
        <v>78</v>
      </c>
      <c r="B65" s="1" t="s">
        <v>220</v>
      </c>
      <c r="C65" s="7">
        <v>4400</v>
      </c>
      <c r="D65" s="3">
        <v>29850</v>
      </c>
      <c r="E65" s="10">
        <f t="shared" ca="1" si="0"/>
        <v>43.916666666666664</v>
      </c>
      <c r="F65" s="10" t="str">
        <f>TEXT(Table1[[#This Row],[Fecha de Nacimiento]],"mmmm")</f>
        <v>September</v>
      </c>
      <c r="G65" s="1" t="s">
        <v>8</v>
      </c>
      <c r="H65" s="1" t="s">
        <v>12</v>
      </c>
      <c r="I65" s="1" t="s">
        <v>9</v>
      </c>
      <c r="J65" s="1" t="str">
        <f t="shared" si="2"/>
        <v>No Aumento</v>
      </c>
      <c r="L65"/>
    </row>
    <row r="66" spans="1:12" x14ac:dyDescent="0.3">
      <c r="A66" s="1" t="s">
        <v>79</v>
      </c>
      <c r="B66" s="1" t="s">
        <v>225</v>
      </c>
      <c r="C66" s="7">
        <v>4840</v>
      </c>
      <c r="D66" s="3">
        <v>29860</v>
      </c>
      <c r="E66" s="10">
        <f t="shared" ref="E66:E129" ca="1" si="3">YEARFRAC(TODAY(),D66)</f>
        <v>43.888888888888886</v>
      </c>
      <c r="F66" s="10" t="str">
        <f>TEXT(Table1[[#This Row],[Fecha de Nacimiento]],"mmmm")</f>
        <v>October</v>
      </c>
      <c r="G66" s="1" t="s">
        <v>8</v>
      </c>
      <c r="H66" s="1" t="s">
        <v>12</v>
      </c>
      <c r="I66" s="1" t="s">
        <v>9</v>
      </c>
      <c r="J66" s="1" t="str">
        <f t="shared" ref="J66:J129" si="4">IF(C66&gt;12000,"Aumento","No Aumento")</f>
        <v>No Aumento</v>
      </c>
      <c r="L66"/>
    </row>
    <row r="67" spans="1:12" x14ac:dyDescent="0.3">
      <c r="A67" s="1" t="s">
        <v>80</v>
      </c>
      <c r="B67" s="1" t="s">
        <v>220</v>
      </c>
      <c r="C67" s="7">
        <v>3520</v>
      </c>
      <c r="D67" s="3">
        <v>29901</v>
      </c>
      <c r="E67" s="10">
        <f t="shared" ca="1" si="3"/>
        <v>43.777777777777779</v>
      </c>
      <c r="F67" s="10" t="str">
        <f>TEXT(Table1[[#This Row],[Fecha de Nacimiento]],"mmmm")</f>
        <v>November</v>
      </c>
      <c r="G67" s="1" t="s">
        <v>3</v>
      </c>
      <c r="H67" s="1" t="s">
        <v>12</v>
      </c>
      <c r="I67" s="1" t="s">
        <v>14</v>
      </c>
      <c r="J67" s="1" t="str">
        <f t="shared" si="4"/>
        <v>No Aumento</v>
      </c>
      <c r="L67"/>
    </row>
    <row r="68" spans="1:12" x14ac:dyDescent="0.3">
      <c r="A68" s="1" t="s">
        <v>81</v>
      </c>
      <c r="B68" s="1" t="s">
        <v>220</v>
      </c>
      <c r="C68" s="7">
        <v>5280</v>
      </c>
      <c r="D68" s="3">
        <v>30032</v>
      </c>
      <c r="E68" s="10">
        <f t="shared" ca="1" si="3"/>
        <v>43.413888888888891</v>
      </c>
      <c r="F68" s="10" t="str">
        <f>TEXT(Table1[[#This Row],[Fecha de Nacimiento]],"mmmm")</f>
        <v>March</v>
      </c>
      <c r="G68" s="1" t="s">
        <v>3</v>
      </c>
      <c r="H68" s="1" t="s">
        <v>12</v>
      </c>
      <c r="I68" s="1" t="s">
        <v>9</v>
      </c>
      <c r="J68" s="1" t="str">
        <f t="shared" si="4"/>
        <v>No Aumento</v>
      </c>
      <c r="L68"/>
    </row>
    <row r="69" spans="1:12" x14ac:dyDescent="0.3">
      <c r="A69" s="1" t="s">
        <v>82</v>
      </c>
      <c r="B69" s="1" t="s">
        <v>220</v>
      </c>
      <c r="C69" s="7">
        <v>3465</v>
      </c>
      <c r="D69" s="3">
        <v>30040</v>
      </c>
      <c r="E69" s="10">
        <f t="shared" ca="1" si="3"/>
        <v>43.391666666666666</v>
      </c>
      <c r="F69" s="10" t="str">
        <f>TEXT(Table1[[#This Row],[Fecha de Nacimiento]],"mmmm")</f>
        <v>March</v>
      </c>
      <c r="G69" s="1" t="s">
        <v>3</v>
      </c>
      <c r="H69" s="1" t="s">
        <v>12</v>
      </c>
      <c r="I69" s="1" t="s">
        <v>9</v>
      </c>
      <c r="J69" s="1" t="str">
        <f t="shared" si="4"/>
        <v>No Aumento</v>
      </c>
      <c r="L69"/>
    </row>
    <row r="70" spans="1:12" x14ac:dyDescent="0.3">
      <c r="A70" s="1" t="s">
        <v>83</v>
      </c>
      <c r="B70" s="1" t="s">
        <v>220</v>
      </c>
      <c r="C70" s="7">
        <v>5060</v>
      </c>
      <c r="D70" s="3">
        <v>30092</v>
      </c>
      <c r="E70" s="10">
        <f t="shared" ca="1" si="3"/>
        <v>43.25</v>
      </c>
      <c r="F70" s="10" t="str">
        <f>TEXT(Table1[[#This Row],[Fecha de Nacimiento]],"mmmm")</f>
        <v>May</v>
      </c>
      <c r="G70" s="1" t="s">
        <v>8</v>
      </c>
      <c r="H70" s="1" t="s">
        <v>12</v>
      </c>
      <c r="I70" s="1" t="s">
        <v>14</v>
      </c>
      <c r="J70" s="1" t="str">
        <f t="shared" si="4"/>
        <v>No Aumento</v>
      </c>
      <c r="L70"/>
    </row>
    <row r="71" spans="1:12" x14ac:dyDescent="0.3">
      <c r="A71" s="1" t="s">
        <v>84</v>
      </c>
      <c r="B71" s="1" t="s">
        <v>220</v>
      </c>
      <c r="C71" s="7">
        <v>4620</v>
      </c>
      <c r="D71" s="3">
        <v>30166</v>
      </c>
      <c r="E71" s="10">
        <f t="shared" ca="1" si="3"/>
        <v>43.05</v>
      </c>
      <c r="F71" s="10" t="str">
        <f>TEXT(Table1[[#This Row],[Fecha de Nacimiento]],"mmmm")</f>
        <v>August</v>
      </c>
      <c r="G71" s="1" t="s">
        <v>3</v>
      </c>
      <c r="H71" s="1" t="s">
        <v>12</v>
      </c>
      <c r="I71" s="1" t="s">
        <v>9</v>
      </c>
      <c r="J71" s="1" t="str">
        <f t="shared" si="4"/>
        <v>No Aumento</v>
      </c>
      <c r="L71"/>
    </row>
    <row r="72" spans="1:12" x14ac:dyDescent="0.3">
      <c r="A72" s="1" t="s">
        <v>85</v>
      </c>
      <c r="B72" s="1" t="s">
        <v>220</v>
      </c>
      <c r="C72" s="7">
        <v>3300</v>
      </c>
      <c r="D72" s="3">
        <v>30171</v>
      </c>
      <c r="E72" s="10">
        <f t="shared" ca="1" si="3"/>
        <v>43.036111111111111</v>
      </c>
      <c r="F72" s="10" t="str">
        <f>TEXT(Table1[[#This Row],[Fecha de Nacimiento]],"mmmm")</f>
        <v>August</v>
      </c>
      <c r="G72" s="1" t="s">
        <v>8</v>
      </c>
      <c r="H72" s="1" t="s">
        <v>12</v>
      </c>
      <c r="I72" s="1" t="s">
        <v>9</v>
      </c>
      <c r="J72" s="1" t="str">
        <f t="shared" si="4"/>
        <v>No Aumento</v>
      </c>
      <c r="L72"/>
    </row>
    <row r="73" spans="1:12" x14ac:dyDescent="0.3">
      <c r="A73" s="1" t="s">
        <v>86</v>
      </c>
      <c r="B73" s="1" t="s">
        <v>225</v>
      </c>
      <c r="C73" s="7">
        <v>5720</v>
      </c>
      <c r="D73" s="3">
        <v>30181</v>
      </c>
      <c r="E73" s="10">
        <f t="shared" ca="1" si="3"/>
        <v>43.008333333333333</v>
      </c>
      <c r="F73" s="10" t="str">
        <f>TEXT(Table1[[#This Row],[Fecha de Nacimiento]],"mmmm")</f>
        <v>August</v>
      </c>
      <c r="G73" s="1" t="s">
        <v>3</v>
      </c>
      <c r="H73" s="1" t="s">
        <v>12</v>
      </c>
      <c r="I73" s="1" t="s">
        <v>9</v>
      </c>
      <c r="J73" s="1" t="str">
        <f t="shared" si="4"/>
        <v>No Aumento</v>
      </c>
      <c r="L73"/>
    </row>
    <row r="74" spans="1:12" x14ac:dyDescent="0.3">
      <c r="A74" s="1" t="s">
        <v>87</v>
      </c>
      <c r="B74" s="1" t="s">
        <v>220</v>
      </c>
      <c r="C74" s="7">
        <v>3080</v>
      </c>
      <c r="D74" s="3">
        <v>30234</v>
      </c>
      <c r="E74" s="10">
        <f t="shared" ca="1" si="3"/>
        <v>42.863888888888887</v>
      </c>
      <c r="F74" s="10" t="str">
        <f>TEXT(Table1[[#This Row],[Fecha de Nacimiento]],"mmmm")</f>
        <v>October</v>
      </c>
      <c r="G74" s="1" t="s">
        <v>8</v>
      </c>
      <c r="H74" s="1" t="s">
        <v>12</v>
      </c>
      <c r="I74" s="1" t="s">
        <v>9</v>
      </c>
      <c r="J74" s="1" t="str">
        <f t="shared" si="4"/>
        <v>No Aumento</v>
      </c>
      <c r="L74"/>
    </row>
    <row r="75" spans="1:12" x14ac:dyDescent="0.3">
      <c r="A75" s="1" t="s">
        <v>88</v>
      </c>
      <c r="B75" s="1" t="s">
        <v>220</v>
      </c>
      <c r="C75" s="7">
        <v>4400</v>
      </c>
      <c r="D75" s="3">
        <v>30276</v>
      </c>
      <c r="E75" s="10">
        <f t="shared" ca="1" si="3"/>
        <v>42.75</v>
      </c>
      <c r="F75" s="10" t="str">
        <f>TEXT(Table1[[#This Row],[Fecha de Nacimiento]],"mmmm")</f>
        <v>November</v>
      </c>
      <c r="G75" s="1" t="s">
        <v>3</v>
      </c>
      <c r="H75" s="1" t="s">
        <v>12</v>
      </c>
      <c r="I75" s="1" t="s">
        <v>9</v>
      </c>
      <c r="J75" s="1" t="str">
        <f t="shared" si="4"/>
        <v>No Aumento</v>
      </c>
      <c r="L75"/>
    </row>
    <row r="76" spans="1:12" x14ac:dyDescent="0.3">
      <c r="A76" s="1" t="s">
        <v>89</v>
      </c>
      <c r="B76" s="1" t="s">
        <v>221</v>
      </c>
      <c r="C76" s="7">
        <v>12144</v>
      </c>
      <c r="D76" s="3">
        <v>30351</v>
      </c>
      <c r="E76" s="10">
        <f t="shared" ca="1" si="3"/>
        <v>42.547222222222224</v>
      </c>
      <c r="F76" s="10" t="str">
        <f>TEXT(Table1[[#This Row],[Fecha de Nacimiento]],"mmmm")</f>
        <v>February</v>
      </c>
      <c r="G76" s="1" t="s">
        <v>8</v>
      </c>
      <c r="H76" s="1" t="s">
        <v>4</v>
      </c>
      <c r="I76" s="1" t="s">
        <v>9</v>
      </c>
      <c r="J76" s="1" t="str">
        <f t="shared" si="4"/>
        <v>Aumento</v>
      </c>
      <c r="L76"/>
    </row>
    <row r="77" spans="1:12" x14ac:dyDescent="0.3">
      <c r="A77" s="1" t="s">
        <v>90</v>
      </c>
      <c r="B77" s="1" t="s">
        <v>220</v>
      </c>
      <c r="C77" s="7">
        <v>4840</v>
      </c>
      <c r="D77" s="3">
        <v>30358</v>
      </c>
      <c r="E77" s="10">
        <f t="shared" ca="1" si="3"/>
        <v>42.527777777777779</v>
      </c>
      <c r="F77" s="10" t="str">
        <f>TEXT(Table1[[#This Row],[Fecha de Nacimiento]],"mmmm")</f>
        <v>February</v>
      </c>
      <c r="G77" s="1" t="s">
        <v>3</v>
      </c>
      <c r="H77" s="1" t="s">
        <v>12</v>
      </c>
      <c r="I77" s="1" t="s">
        <v>10</v>
      </c>
      <c r="J77" s="1" t="str">
        <f t="shared" si="4"/>
        <v>No Aumento</v>
      </c>
      <c r="L77"/>
    </row>
    <row r="78" spans="1:12" x14ac:dyDescent="0.3">
      <c r="A78" s="1" t="s">
        <v>91</v>
      </c>
      <c r="B78" s="1" t="s">
        <v>254</v>
      </c>
      <c r="C78" s="7">
        <v>12100</v>
      </c>
      <c r="D78" s="3">
        <v>30402</v>
      </c>
      <c r="E78" s="10">
        <f t="shared" ca="1" si="3"/>
        <v>42.4</v>
      </c>
      <c r="F78" s="10" t="str">
        <f>TEXT(Table1[[#This Row],[Fecha de Nacimiento]],"mmmm")</f>
        <v>March</v>
      </c>
      <c r="G78" s="1" t="s">
        <v>3</v>
      </c>
      <c r="H78" s="1" t="s">
        <v>12</v>
      </c>
      <c r="I78" s="1" t="s">
        <v>9</v>
      </c>
      <c r="J78" s="1" t="str">
        <f t="shared" si="4"/>
        <v>Aumento</v>
      </c>
      <c r="L78"/>
    </row>
    <row r="79" spans="1:12" x14ac:dyDescent="0.3">
      <c r="A79" s="1" t="s">
        <v>92</v>
      </c>
      <c r="B79" s="1" t="s">
        <v>220</v>
      </c>
      <c r="C79" s="7">
        <v>3300</v>
      </c>
      <c r="D79" s="3">
        <v>30446</v>
      </c>
      <c r="E79" s="10">
        <f t="shared" ca="1" si="3"/>
        <v>42.280555555555559</v>
      </c>
      <c r="F79" s="10" t="str">
        <f>TEXT(Table1[[#This Row],[Fecha de Nacimiento]],"mmmm")</f>
        <v>May</v>
      </c>
      <c r="G79" s="1" t="s">
        <v>3</v>
      </c>
      <c r="H79" s="1" t="s">
        <v>12</v>
      </c>
      <c r="I79" s="1" t="s">
        <v>9</v>
      </c>
      <c r="J79" s="1" t="str">
        <f t="shared" si="4"/>
        <v>No Aumento</v>
      </c>
      <c r="L79"/>
    </row>
    <row r="80" spans="1:12" x14ac:dyDescent="0.3">
      <c r="A80" s="1" t="s">
        <v>93</v>
      </c>
      <c r="B80" s="1" t="s">
        <v>220</v>
      </c>
      <c r="C80" s="7">
        <v>3300</v>
      </c>
      <c r="D80" s="3">
        <v>30544</v>
      </c>
      <c r="E80" s="10">
        <f t="shared" ca="1" si="3"/>
        <v>42.013888888888886</v>
      </c>
      <c r="F80" s="10" t="str">
        <f>TEXT(Table1[[#This Row],[Fecha de Nacimiento]],"mmmm")</f>
        <v>August</v>
      </c>
      <c r="G80" s="1" t="s">
        <v>8</v>
      </c>
      <c r="H80" s="1" t="s">
        <v>12</v>
      </c>
      <c r="I80" s="1" t="s">
        <v>9</v>
      </c>
      <c r="J80" s="1" t="str">
        <f t="shared" si="4"/>
        <v>No Aumento</v>
      </c>
      <c r="L80"/>
    </row>
    <row r="81" spans="1:12" x14ac:dyDescent="0.3">
      <c r="A81" s="1" t="s">
        <v>94</v>
      </c>
      <c r="B81" s="1" t="s">
        <v>220</v>
      </c>
      <c r="C81" s="7">
        <v>4620</v>
      </c>
      <c r="D81" s="3">
        <v>30552</v>
      </c>
      <c r="E81" s="10">
        <f t="shared" ca="1" si="3"/>
        <v>41.991666666666667</v>
      </c>
      <c r="F81" s="10" t="str">
        <f>TEXT(Table1[[#This Row],[Fecha de Nacimiento]],"mmmm")</f>
        <v>August</v>
      </c>
      <c r="G81" s="1" t="s">
        <v>3</v>
      </c>
      <c r="H81" s="1" t="s">
        <v>12</v>
      </c>
      <c r="I81" s="1" t="s">
        <v>9</v>
      </c>
      <c r="J81" s="1" t="str">
        <f t="shared" si="4"/>
        <v>No Aumento</v>
      </c>
      <c r="L81"/>
    </row>
    <row r="82" spans="1:12" x14ac:dyDescent="0.3">
      <c r="A82" s="1" t="s">
        <v>95</v>
      </c>
      <c r="B82" s="1" t="s">
        <v>225</v>
      </c>
      <c r="C82" s="7">
        <v>5940</v>
      </c>
      <c r="D82" s="3">
        <v>30580</v>
      </c>
      <c r="E82" s="10">
        <f t="shared" ca="1" si="3"/>
        <v>41.916666666666664</v>
      </c>
      <c r="F82" s="10" t="str">
        <f>TEXT(Table1[[#This Row],[Fecha de Nacimiento]],"mmmm")</f>
        <v>September</v>
      </c>
      <c r="G82" s="1" t="s">
        <v>3</v>
      </c>
      <c r="H82" s="1" t="s">
        <v>12</v>
      </c>
      <c r="I82" s="1" t="s">
        <v>9</v>
      </c>
      <c r="J82" s="1" t="str">
        <f t="shared" si="4"/>
        <v>No Aumento</v>
      </c>
      <c r="L82"/>
    </row>
    <row r="83" spans="1:12" x14ac:dyDescent="0.3">
      <c r="A83" s="1" t="s">
        <v>96</v>
      </c>
      <c r="B83" s="1" t="s">
        <v>233</v>
      </c>
      <c r="C83" s="7">
        <v>6908</v>
      </c>
      <c r="D83" s="3">
        <v>30735</v>
      </c>
      <c r="E83" s="10">
        <f t="shared" ca="1" si="3"/>
        <v>41.494444444444447</v>
      </c>
      <c r="F83" s="10" t="str">
        <f>TEXT(Table1[[#This Row],[Fecha de Nacimiento]],"mmmm")</f>
        <v>February</v>
      </c>
      <c r="G83" s="1" t="s">
        <v>8</v>
      </c>
      <c r="H83" s="1" t="s">
        <v>4</v>
      </c>
      <c r="I83" s="1" t="s">
        <v>9</v>
      </c>
      <c r="J83" s="1" t="str">
        <f t="shared" si="4"/>
        <v>No Aumento</v>
      </c>
      <c r="L83"/>
    </row>
    <row r="84" spans="1:12" x14ac:dyDescent="0.3">
      <c r="A84" s="1" t="s">
        <v>97</v>
      </c>
      <c r="B84" s="1" t="s">
        <v>225</v>
      </c>
      <c r="C84" s="7">
        <v>4840</v>
      </c>
      <c r="D84" s="3">
        <v>30758</v>
      </c>
      <c r="E84" s="10">
        <f t="shared" ca="1" si="3"/>
        <v>41.427777777777777</v>
      </c>
      <c r="F84" s="10" t="str">
        <f>TEXT(Table1[[#This Row],[Fecha de Nacimiento]],"mmmm")</f>
        <v>March</v>
      </c>
      <c r="G84" s="1" t="s">
        <v>3</v>
      </c>
      <c r="H84" s="1" t="s">
        <v>12</v>
      </c>
      <c r="I84" s="1" t="s">
        <v>9</v>
      </c>
      <c r="J84" s="1" t="str">
        <f t="shared" si="4"/>
        <v>No Aumento</v>
      </c>
      <c r="L84"/>
    </row>
    <row r="85" spans="1:12" x14ac:dyDescent="0.3">
      <c r="A85" s="1" t="s">
        <v>98</v>
      </c>
      <c r="B85" s="1" t="s">
        <v>231</v>
      </c>
      <c r="C85" s="7">
        <v>5940</v>
      </c>
      <c r="D85" s="3">
        <v>30774</v>
      </c>
      <c r="E85" s="10">
        <f t="shared" ca="1" si="3"/>
        <v>41.386111111111113</v>
      </c>
      <c r="F85" s="10" t="str">
        <f>TEXT(Table1[[#This Row],[Fecha de Nacimiento]],"mmmm")</f>
        <v>April</v>
      </c>
      <c r="G85" s="1" t="s">
        <v>3</v>
      </c>
      <c r="H85" s="1" t="s">
        <v>4</v>
      </c>
      <c r="I85" s="1" t="s">
        <v>9</v>
      </c>
      <c r="J85" s="1" t="str">
        <f t="shared" si="4"/>
        <v>No Aumento</v>
      </c>
      <c r="L85"/>
    </row>
    <row r="86" spans="1:12" x14ac:dyDescent="0.3">
      <c r="A86" s="1" t="s">
        <v>99</v>
      </c>
      <c r="B86" s="1" t="s">
        <v>237</v>
      </c>
      <c r="C86" s="7">
        <v>7689</v>
      </c>
      <c r="D86" s="3">
        <v>30786</v>
      </c>
      <c r="E86" s="10">
        <f t="shared" ca="1" si="3"/>
        <v>41.352777777777774</v>
      </c>
      <c r="F86" s="10" t="str">
        <f>TEXT(Table1[[#This Row],[Fecha de Nacimiento]],"mmmm")</f>
        <v>April</v>
      </c>
      <c r="G86" s="1" t="s">
        <v>3</v>
      </c>
      <c r="H86" s="1" t="s">
        <v>11</v>
      </c>
      <c r="I86" s="1" t="s">
        <v>9</v>
      </c>
      <c r="J86" s="1" t="str">
        <f t="shared" si="4"/>
        <v>No Aumento</v>
      </c>
      <c r="L86"/>
    </row>
    <row r="87" spans="1:12" x14ac:dyDescent="0.3">
      <c r="A87" s="1" t="s">
        <v>100</v>
      </c>
      <c r="B87" s="1" t="s">
        <v>255</v>
      </c>
      <c r="C87" s="7">
        <v>12566</v>
      </c>
      <c r="D87" s="3">
        <v>30807</v>
      </c>
      <c r="E87" s="10">
        <f t="shared" ca="1" si="3"/>
        <v>41.294444444444444</v>
      </c>
      <c r="F87" s="10" t="str">
        <f>TEXT(Table1[[#This Row],[Fecha de Nacimiento]],"mmmm")</f>
        <v>May</v>
      </c>
      <c r="G87" s="1" t="s">
        <v>8</v>
      </c>
      <c r="H87" s="1" t="s">
        <v>4</v>
      </c>
      <c r="I87" s="1" t="s">
        <v>9</v>
      </c>
      <c r="J87" s="1" t="str">
        <f t="shared" si="4"/>
        <v>Aumento</v>
      </c>
      <c r="L87"/>
    </row>
    <row r="88" spans="1:12" x14ac:dyDescent="0.3">
      <c r="A88" s="1" t="s">
        <v>101</v>
      </c>
      <c r="B88" s="1" t="s">
        <v>220</v>
      </c>
      <c r="C88" s="7">
        <v>3300</v>
      </c>
      <c r="D88" s="3">
        <v>30821</v>
      </c>
      <c r="E88" s="10">
        <f t="shared" ca="1" si="3"/>
        <v>41.255555555555553</v>
      </c>
      <c r="F88" s="10" t="str">
        <f>TEXT(Table1[[#This Row],[Fecha de Nacimiento]],"mmmm")</f>
        <v>May</v>
      </c>
      <c r="G88" s="1" t="s">
        <v>3</v>
      </c>
      <c r="H88" s="1" t="s">
        <v>12</v>
      </c>
      <c r="I88" s="1" t="s">
        <v>9</v>
      </c>
      <c r="J88" s="1" t="str">
        <f t="shared" si="4"/>
        <v>No Aumento</v>
      </c>
      <c r="L88"/>
    </row>
    <row r="89" spans="1:12" x14ac:dyDescent="0.3">
      <c r="A89" s="1" t="s">
        <v>102</v>
      </c>
      <c r="B89" s="1" t="s">
        <v>231</v>
      </c>
      <c r="C89" s="7">
        <v>10472</v>
      </c>
      <c r="D89" s="3">
        <v>30824</v>
      </c>
      <c r="E89" s="10">
        <f t="shared" ca="1" si="3"/>
        <v>41.24722222222222</v>
      </c>
      <c r="F89" s="10" t="str">
        <f>TEXT(Table1[[#This Row],[Fecha de Nacimiento]],"mmmm")</f>
        <v>May</v>
      </c>
      <c r="G89" s="1" t="s">
        <v>8</v>
      </c>
      <c r="H89" s="1" t="s">
        <v>4</v>
      </c>
      <c r="I89" s="1" t="s">
        <v>9</v>
      </c>
      <c r="J89" s="1" t="str">
        <f t="shared" si="4"/>
        <v>No Aumento</v>
      </c>
      <c r="L89"/>
    </row>
    <row r="90" spans="1:12" x14ac:dyDescent="0.3">
      <c r="A90" s="1" t="s">
        <v>103</v>
      </c>
      <c r="B90" s="1" t="s">
        <v>220</v>
      </c>
      <c r="C90" s="7">
        <v>3740</v>
      </c>
      <c r="D90" s="3">
        <v>30835</v>
      </c>
      <c r="E90" s="10">
        <f t="shared" ca="1" si="3"/>
        <v>41.219444444444441</v>
      </c>
      <c r="F90" s="10" t="str">
        <f>TEXT(Table1[[#This Row],[Fecha de Nacimiento]],"mmmm")</f>
        <v>June</v>
      </c>
      <c r="G90" s="1" t="s">
        <v>8</v>
      </c>
      <c r="H90" s="1" t="s">
        <v>12</v>
      </c>
      <c r="I90" s="1" t="s">
        <v>9</v>
      </c>
      <c r="J90" s="1" t="str">
        <f t="shared" si="4"/>
        <v>No Aumento</v>
      </c>
      <c r="L90"/>
    </row>
    <row r="91" spans="1:12" x14ac:dyDescent="0.3">
      <c r="A91" s="1" t="s">
        <v>104</v>
      </c>
      <c r="B91" s="1" t="s">
        <v>238</v>
      </c>
      <c r="C91" s="7">
        <v>14300</v>
      </c>
      <c r="D91" s="3">
        <v>30922</v>
      </c>
      <c r="E91" s="10">
        <f t="shared" ca="1" si="3"/>
        <v>40.980555555555554</v>
      </c>
      <c r="F91" s="10" t="str">
        <f>TEXT(Table1[[#This Row],[Fecha de Nacimiento]],"mmmm")</f>
        <v>August</v>
      </c>
      <c r="G91" s="1" t="s">
        <v>8</v>
      </c>
      <c r="H91" s="1" t="s">
        <v>4</v>
      </c>
      <c r="I91" s="1" t="s">
        <v>14</v>
      </c>
      <c r="J91" s="1" t="str">
        <f t="shared" si="4"/>
        <v>Aumento</v>
      </c>
      <c r="L91"/>
    </row>
    <row r="92" spans="1:12" x14ac:dyDescent="0.3">
      <c r="A92" s="1" t="s">
        <v>105</v>
      </c>
      <c r="B92" s="1" t="s">
        <v>225</v>
      </c>
      <c r="C92" s="7">
        <v>5500</v>
      </c>
      <c r="D92" s="3">
        <v>30937</v>
      </c>
      <c r="E92" s="10">
        <f t="shared" ca="1" si="3"/>
        <v>40.94166666666667</v>
      </c>
      <c r="F92" s="10" t="str">
        <f>TEXT(Table1[[#This Row],[Fecha de Nacimiento]],"mmmm")</f>
        <v>September</v>
      </c>
      <c r="G92" s="1" t="s">
        <v>8</v>
      </c>
      <c r="H92" s="1" t="s">
        <v>12</v>
      </c>
      <c r="I92" s="1" t="s">
        <v>9</v>
      </c>
      <c r="J92" s="1" t="str">
        <f t="shared" si="4"/>
        <v>No Aumento</v>
      </c>
      <c r="L92"/>
    </row>
    <row r="93" spans="1:12" x14ac:dyDescent="0.3">
      <c r="A93" s="1" t="s">
        <v>106</v>
      </c>
      <c r="B93" s="1" t="s">
        <v>225</v>
      </c>
      <c r="C93" s="7">
        <v>5720</v>
      </c>
      <c r="D93" s="3">
        <v>30956</v>
      </c>
      <c r="E93" s="10">
        <f t="shared" ca="1" si="3"/>
        <v>40.888888888888886</v>
      </c>
      <c r="F93" s="10" t="str">
        <f>TEXT(Table1[[#This Row],[Fecha de Nacimiento]],"mmmm")</f>
        <v>October</v>
      </c>
      <c r="G93" s="1" t="s">
        <v>3</v>
      </c>
      <c r="H93" s="1" t="s">
        <v>12</v>
      </c>
      <c r="I93" s="1" t="s">
        <v>9</v>
      </c>
      <c r="J93" s="1" t="str">
        <f t="shared" si="4"/>
        <v>No Aumento</v>
      </c>
      <c r="L93"/>
    </row>
    <row r="94" spans="1:12" x14ac:dyDescent="0.3">
      <c r="A94" s="1" t="s">
        <v>107</v>
      </c>
      <c r="B94" s="1" t="s">
        <v>220</v>
      </c>
      <c r="C94" s="7">
        <v>4840</v>
      </c>
      <c r="D94" s="3">
        <v>31008</v>
      </c>
      <c r="E94" s="10">
        <f t="shared" ca="1" si="3"/>
        <v>40.74722222222222</v>
      </c>
      <c r="F94" s="10" t="str">
        <f>TEXT(Table1[[#This Row],[Fecha de Nacimiento]],"mmmm")</f>
        <v>November</v>
      </c>
      <c r="G94" s="1" t="s">
        <v>8</v>
      </c>
      <c r="H94" s="1" t="s">
        <v>12</v>
      </c>
      <c r="I94" s="1" t="s">
        <v>10</v>
      </c>
      <c r="J94" s="1" t="str">
        <f t="shared" si="4"/>
        <v>No Aumento</v>
      </c>
      <c r="L94"/>
    </row>
    <row r="95" spans="1:12" x14ac:dyDescent="0.3">
      <c r="A95" s="1" t="s">
        <v>108</v>
      </c>
      <c r="B95" s="1" t="s">
        <v>224</v>
      </c>
      <c r="C95" s="7">
        <v>8000</v>
      </c>
      <c r="D95" s="3">
        <v>31011</v>
      </c>
      <c r="E95" s="10">
        <f t="shared" ca="1" si="3"/>
        <v>40.738888888888887</v>
      </c>
      <c r="F95" s="10" t="str">
        <f>TEXT(Table1[[#This Row],[Fecha de Nacimiento]],"mmmm")</f>
        <v>November</v>
      </c>
      <c r="G95" s="1" t="s">
        <v>8</v>
      </c>
      <c r="H95" s="1" t="s">
        <v>5</v>
      </c>
      <c r="I95" s="1" t="s">
        <v>9</v>
      </c>
      <c r="J95" s="1" t="str">
        <f t="shared" si="4"/>
        <v>No Aumento</v>
      </c>
      <c r="L95"/>
    </row>
    <row r="96" spans="1:12" x14ac:dyDescent="0.3">
      <c r="A96" s="1" t="s">
        <v>109</v>
      </c>
      <c r="B96" s="1" t="s">
        <v>220</v>
      </c>
      <c r="C96" s="7">
        <v>4290</v>
      </c>
      <c r="D96" s="3">
        <v>31016</v>
      </c>
      <c r="E96" s="10">
        <f t="shared" ca="1" si="3"/>
        <v>40.725000000000001</v>
      </c>
      <c r="F96" s="10" t="str">
        <f>TEXT(Table1[[#This Row],[Fecha de Nacimiento]],"mmmm")</f>
        <v>November</v>
      </c>
      <c r="G96" s="1" t="s">
        <v>8</v>
      </c>
      <c r="H96" s="1" t="s">
        <v>12</v>
      </c>
      <c r="I96" s="1" t="s">
        <v>9</v>
      </c>
      <c r="J96" s="1" t="str">
        <f t="shared" si="4"/>
        <v>No Aumento</v>
      </c>
      <c r="L96"/>
    </row>
    <row r="97" spans="1:12" x14ac:dyDescent="0.3">
      <c r="A97" s="1" t="s">
        <v>110</v>
      </c>
      <c r="B97" s="1" t="s">
        <v>220</v>
      </c>
      <c r="C97" s="7">
        <v>4620</v>
      </c>
      <c r="D97" s="3">
        <v>31078</v>
      </c>
      <c r="E97" s="10">
        <f t="shared" ca="1" si="3"/>
        <v>40.55833333333333</v>
      </c>
      <c r="F97" s="10" t="str">
        <f>TEXT(Table1[[#This Row],[Fecha de Nacimiento]],"mmmm")</f>
        <v>January</v>
      </c>
      <c r="G97" s="1" t="s">
        <v>3</v>
      </c>
      <c r="H97" s="1" t="s">
        <v>12</v>
      </c>
      <c r="I97" s="1" t="s">
        <v>9</v>
      </c>
      <c r="J97" s="1" t="str">
        <f t="shared" si="4"/>
        <v>No Aumento</v>
      </c>
      <c r="L97"/>
    </row>
    <row r="98" spans="1:12" x14ac:dyDescent="0.3">
      <c r="A98" s="1" t="s">
        <v>111</v>
      </c>
      <c r="B98" s="1" t="s">
        <v>225</v>
      </c>
      <c r="C98" s="7">
        <v>5500</v>
      </c>
      <c r="D98" s="3">
        <v>31079</v>
      </c>
      <c r="E98" s="10">
        <f t="shared" ca="1" si="3"/>
        <v>40.555555555555557</v>
      </c>
      <c r="F98" s="10" t="str">
        <f>TEXT(Table1[[#This Row],[Fecha de Nacimiento]],"mmmm")</f>
        <v>February</v>
      </c>
      <c r="G98" s="1" t="s">
        <v>8</v>
      </c>
      <c r="H98" s="1" t="s">
        <v>12</v>
      </c>
      <c r="I98" s="1" t="s">
        <v>9</v>
      </c>
      <c r="J98" s="1" t="str">
        <f t="shared" si="4"/>
        <v>No Aumento</v>
      </c>
      <c r="L98"/>
    </row>
    <row r="99" spans="1:12" x14ac:dyDescent="0.3">
      <c r="A99" s="1" t="s">
        <v>112</v>
      </c>
      <c r="B99" s="1" t="s">
        <v>220</v>
      </c>
      <c r="C99" s="7">
        <v>3960</v>
      </c>
      <c r="D99" s="3">
        <v>31154</v>
      </c>
      <c r="E99" s="10">
        <f t="shared" ca="1" si="3"/>
        <v>40.344444444444441</v>
      </c>
      <c r="F99" s="10" t="str">
        <f>TEXT(Table1[[#This Row],[Fecha de Nacimiento]],"mmmm")</f>
        <v>April</v>
      </c>
      <c r="G99" s="1" t="s">
        <v>8</v>
      </c>
      <c r="H99" s="1" t="s">
        <v>12</v>
      </c>
      <c r="I99" s="1" t="s">
        <v>9</v>
      </c>
      <c r="J99" s="1" t="str">
        <f t="shared" si="4"/>
        <v>No Aumento</v>
      </c>
      <c r="L99"/>
    </row>
    <row r="100" spans="1:12" x14ac:dyDescent="0.3">
      <c r="A100" s="1" t="s">
        <v>113</v>
      </c>
      <c r="B100" s="1" t="s">
        <v>239</v>
      </c>
      <c r="C100" s="7">
        <v>14300</v>
      </c>
      <c r="D100" s="3">
        <v>31173</v>
      </c>
      <c r="E100" s="10">
        <f t="shared" ca="1" si="3"/>
        <v>40.291666666666664</v>
      </c>
      <c r="F100" s="10" t="str">
        <f>TEXT(Table1[[#This Row],[Fecha de Nacimiento]],"mmmm")</f>
        <v>May</v>
      </c>
      <c r="G100" s="1" t="s">
        <v>8</v>
      </c>
      <c r="H100" s="1" t="s">
        <v>4</v>
      </c>
      <c r="I100" s="1" t="s">
        <v>14</v>
      </c>
      <c r="J100" s="1" t="str">
        <f t="shared" si="4"/>
        <v>Aumento</v>
      </c>
      <c r="L100"/>
    </row>
    <row r="101" spans="1:12" x14ac:dyDescent="0.3">
      <c r="A101" s="1" t="s">
        <v>114</v>
      </c>
      <c r="B101" s="1" t="s">
        <v>220</v>
      </c>
      <c r="C101" s="7">
        <v>3520</v>
      </c>
      <c r="D101" s="3">
        <v>31263</v>
      </c>
      <c r="E101" s="10">
        <f t="shared" ca="1" si="3"/>
        <v>40.047222222222224</v>
      </c>
      <c r="F101" s="10" t="str">
        <f>TEXT(Table1[[#This Row],[Fecha de Nacimiento]],"mmmm")</f>
        <v>August</v>
      </c>
      <c r="G101" s="1" t="s">
        <v>8</v>
      </c>
      <c r="H101" s="1" t="s">
        <v>12</v>
      </c>
      <c r="I101" s="1" t="s">
        <v>14</v>
      </c>
      <c r="J101" s="1" t="str">
        <f t="shared" si="4"/>
        <v>No Aumento</v>
      </c>
      <c r="L101"/>
    </row>
    <row r="102" spans="1:12" x14ac:dyDescent="0.3">
      <c r="A102" s="1" t="s">
        <v>115</v>
      </c>
      <c r="B102" s="1" t="s">
        <v>220</v>
      </c>
      <c r="C102" s="7">
        <v>5445</v>
      </c>
      <c r="D102" s="3">
        <v>31284</v>
      </c>
      <c r="E102" s="10">
        <f t="shared" ca="1" si="3"/>
        <v>39.988888888888887</v>
      </c>
      <c r="F102" s="10" t="str">
        <f>TEXT(Table1[[#This Row],[Fecha de Nacimiento]],"mmmm")</f>
        <v>August</v>
      </c>
      <c r="G102" s="1" t="s">
        <v>3</v>
      </c>
      <c r="H102" s="1" t="s">
        <v>12</v>
      </c>
      <c r="I102" s="1" t="s">
        <v>14</v>
      </c>
      <c r="J102" s="1" t="str">
        <f t="shared" si="4"/>
        <v>No Aumento</v>
      </c>
      <c r="L102"/>
    </row>
    <row r="103" spans="1:12" x14ac:dyDescent="0.3">
      <c r="A103" s="1" t="s">
        <v>116</v>
      </c>
      <c r="B103" s="1" t="s">
        <v>240</v>
      </c>
      <c r="C103" s="7">
        <v>7500</v>
      </c>
      <c r="D103" s="3">
        <v>31385</v>
      </c>
      <c r="E103" s="10">
        <f t="shared" ca="1" si="3"/>
        <v>39.713888888888889</v>
      </c>
      <c r="F103" s="10" t="str">
        <f>TEXT(Table1[[#This Row],[Fecha de Nacimiento]],"mmmm")</f>
        <v>December</v>
      </c>
      <c r="G103" s="1" t="s">
        <v>3</v>
      </c>
      <c r="H103" s="1" t="s">
        <v>4</v>
      </c>
      <c r="I103" s="1" t="s">
        <v>9</v>
      </c>
      <c r="J103" s="1" t="str">
        <f t="shared" si="4"/>
        <v>No Aumento</v>
      </c>
      <c r="L103"/>
    </row>
    <row r="104" spans="1:12" x14ac:dyDescent="0.3">
      <c r="A104" s="1" t="s">
        <v>117</v>
      </c>
      <c r="B104" s="1" t="s">
        <v>220</v>
      </c>
      <c r="C104" s="7">
        <v>5280</v>
      </c>
      <c r="D104" s="3">
        <v>31486</v>
      </c>
      <c r="E104" s="10">
        <f t="shared" ca="1" si="3"/>
        <v>39.43333333333333</v>
      </c>
      <c r="F104" s="10" t="str">
        <f>TEXT(Table1[[#This Row],[Fecha de Nacimiento]],"mmmm")</f>
        <v>March</v>
      </c>
      <c r="G104" s="1" t="s">
        <v>3</v>
      </c>
      <c r="H104" s="1" t="s">
        <v>12</v>
      </c>
      <c r="I104" s="1" t="s">
        <v>9</v>
      </c>
      <c r="J104" s="1" t="str">
        <f t="shared" si="4"/>
        <v>No Aumento</v>
      </c>
      <c r="L104"/>
    </row>
    <row r="105" spans="1:12" x14ac:dyDescent="0.3">
      <c r="A105" s="1" t="s">
        <v>118</v>
      </c>
      <c r="B105" s="1" t="s">
        <v>231</v>
      </c>
      <c r="C105" s="7">
        <v>10340</v>
      </c>
      <c r="D105" s="3">
        <v>31515</v>
      </c>
      <c r="E105" s="10">
        <f t="shared" ca="1" si="3"/>
        <v>39.355555555555554</v>
      </c>
      <c r="F105" s="10" t="str">
        <f>TEXT(Table1[[#This Row],[Fecha de Nacimiento]],"mmmm")</f>
        <v>April</v>
      </c>
      <c r="G105" s="1" t="s">
        <v>3</v>
      </c>
      <c r="H105" s="1" t="s">
        <v>4</v>
      </c>
      <c r="I105" s="1" t="s">
        <v>9</v>
      </c>
      <c r="J105" s="1" t="str">
        <f t="shared" si="4"/>
        <v>No Aumento</v>
      </c>
      <c r="L105"/>
    </row>
    <row r="106" spans="1:12" x14ac:dyDescent="0.3">
      <c r="A106" s="1" t="s">
        <v>119</v>
      </c>
      <c r="B106" s="1" t="s">
        <v>229</v>
      </c>
      <c r="C106" s="7">
        <v>8580</v>
      </c>
      <c r="D106" s="3">
        <v>31517</v>
      </c>
      <c r="E106" s="10">
        <f t="shared" ca="1" si="3"/>
        <v>39.35</v>
      </c>
      <c r="F106" s="10" t="str">
        <f>TEXT(Table1[[#This Row],[Fecha de Nacimiento]],"mmmm")</f>
        <v>April</v>
      </c>
      <c r="G106" s="1" t="s">
        <v>8</v>
      </c>
      <c r="H106" s="1" t="s">
        <v>4</v>
      </c>
      <c r="I106" s="1" t="s">
        <v>9</v>
      </c>
      <c r="J106" s="1" t="str">
        <f t="shared" si="4"/>
        <v>No Aumento</v>
      </c>
      <c r="L106"/>
    </row>
    <row r="107" spans="1:12" x14ac:dyDescent="0.3">
      <c r="A107" s="1" t="s">
        <v>120</v>
      </c>
      <c r="B107" s="1" t="s">
        <v>232</v>
      </c>
      <c r="C107" s="7">
        <v>10500</v>
      </c>
      <c r="D107" s="3">
        <v>31630</v>
      </c>
      <c r="E107" s="10">
        <f t="shared" ca="1" si="3"/>
        <v>39.041666666666664</v>
      </c>
      <c r="F107" s="10" t="str">
        <f>TEXT(Table1[[#This Row],[Fecha de Nacimiento]],"mmmm")</f>
        <v>August</v>
      </c>
      <c r="G107" s="1" t="s">
        <v>8</v>
      </c>
      <c r="H107" s="1" t="s">
        <v>4</v>
      </c>
      <c r="I107" s="1" t="s">
        <v>9</v>
      </c>
      <c r="J107" s="1" t="str">
        <f t="shared" si="4"/>
        <v>No Aumento</v>
      </c>
      <c r="L107"/>
    </row>
    <row r="108" spans="1:12" x14ac:dyDescent="0.3">
      <c r="A108" s="1" t="s">
        <v>121</v>
      </c>
      <c r="B108" s="1" t="s">
        <v>230</v>
      </c>
      <c r="C108" s="7">
        <v>11660</v>
      </c>
      <c r="D108" s="3">
        <v>31692</v>
      </c>
      <c r="E108" s="10">
        <f t="shared" ca="1" si="3"/>
        <v>38.87222222222222</v>
      </c>
      <c r="F108" s="10" t="str">
        <f>TEXT(Table1[[#This Row],[Fecha de Nacimiento]],"mmmm")</f>
        <v>October</v>
      </c>
      <c r="G108" s="1" t="s">
        <v>8</v>
      </c>
      <c r="H108" s="1" t="s">
        <v>12</v>
      </c>
      <c r="I108" s="1" t="s">
        <v>9</v>
      </c>
      <c r="J108" s="1" t="str">
        <f t="shared" si="4"/>
        <v>No Aumento</v>
      </c>
      <c r="L108"/>
    </row>
    <row r="109" spans="1:12" x14ac:dyDescent="0.3">
      <c r="A109" s="1" t="s">
        <v>122</v>
      </c>
      <c r="B109" s="1" t="s">
        <v>230</v>
      </c>
      <c r="C109" s="7">
        <v>12100</v>
      </c>
      <c r="D109" s="3">
        <v>31710</v>
      </c>
      <c r="E109" s="10">
        <f t="shared" ca="1" si="3"/>
        <v>38.822222222222223</v>
      </c>
      <c r="F109" s="10" t="str">
        <f>TEXT(Table1[[#This Row],[Fecha de Nacimiento]],"mmmm")</f>
        <v>October</v>
      </c>
      <c r="G109" s="1" t="s">
        <v>3</v>
      </c>
      <c r="H109" s="1" t="s">
        <v>12</v>
      </c>
      <c r="I109" s="1" t="s">
        <v>14</v>
      </c>
      <c r="J109" s="1" t="str">
        <f t="shared" si="4"/>
        <v>Aumento</v>
      </c>
      <c r="L109"/>
    </row>
    <row r="110" spans="1:12" x14ac:dyDescent="0.3">
      <c r="A110" s="1" t="s">
        <v>123</v>
      </c>
      <c r="B110" s="1" t="s">
        <v>230</v>
      </c>
      <c r="C110" s="7">
        <v>11880</v>
      </c>
      <c r="D110" s="3">
        <v>31722</v>
      </c>
      <c r="E110" s="10">
        <f t="shared" ca="1" si="3"/>
        <v>38.791666666666664</v>
      </c>
      <c r="F110" s="10" t="str">
        <f>TEXT(Table1[[#This Row],[Fecha de Nacimiento]],"mmmm")</f>
        <v>November</v>
      </c>
      <c r="G110" s="1" t="s">
        <v>8</v>
      </c>
      <c r="H110" s="1" t="s">
        <v>12</v>
      </c>
      <c r="I110" s="1" t="s">
        <v>9</v>
      </c>
      <c r="J110" s="1" t="str">
        <f t="shared" si="4"/>
        <v>No Aumento</v>
      </c>
      <c r="L110"/>
    </row>
    <row r="111" spans="1:12" x14ac:dyDescent="0.3">
      <c r="A111" s="1" t="s">
        <v>124</v>
      </c>
      <c r="B111" s="1" t="s">
        <v>241</v>
      </c>
      <c r="C111" s="7">
        <v>8701</v>
      </c>
      <c r="D111" s="3">
        <v>31725</v>
      </c>
      <c r="E111" s="10">
        <f t="shared" ca="1" si="3"/>
        <v>38.783333333333331</v>
      </c>
      <c r="F111" s="10" t="str">
        <f>TEXT(Table1[[#This Row],[Fecha de Nacimiento]],"mmmm")</f>
        <v>November</v>
      </c>
      <c r="G111" s="1" t="s">
        <v>3</v>
      </c>
      <c r="H111" s="1" t="s">
        <v>4</v>
      </c>
      <c r="I111" s="1" t="s">
        <v>9</v>
      </c>
      <c r="J111" s="1" t="str">
        <f t="shared" si="4"/>
        <v>No Aumento</v>
      </c>
      <c r="L111"/>
    </row>
    <row r="112" spans="1:12" x14ac:dyDescent="0.3">
      <c r="A112" s="1" t="s">
        <v>125</v>
      </c>
      <c r="B112" s="1" t="s">
        <v>220</v>
      </c>
      <c r="C112" s="7">
        <v>3740</v>
      </c>
      <c r="D112" s="3">
        <v>31738</v>
      </c>
      <c r="E112" s="10">
        <f t="shared" ca="1" si="3"/>
        <v>38.74722222222222</v>
      </c>
      <c r="F112" s="10" t="str">
        <f>TEXT(Table1[[#This Row],[Fecha de Nacimiento]],"mmmm")</f>
        <v>November</v>
      </c>
      <c r="G112" s="1" t="s">
        <v>8</v>
      </c>
      <c r="H112" s="1" t="s">
        <v>12</v>
      </c>
      <c r="I112" s="1" t="s">
        <v>9</v>
      </c>
      <c r="J112" s="1" t="str">
        <f t="shared" si="4"/>
        <v>No Aumento</v>
      </c>
      <c r="L112"/>
    </row>
    <row r="113" spans="1:12" x14ac:dyDescent="0.3">
      <c r="A113" s="1" t="s">
        <v>126</v>
      </c>
      <c r="B113" s="1" t="s">
        <v>220</v>
      </c>
      <c r="C113" s="7">
        <v>4620</v>
      </c>
      <c r="D113" s="3">
        <v>31816</v>
      </c>
      <c r="E113" s="10">
        <f t="shared" ca="1" si="3"/>
        <v>38.536111111111111</v>
      </c>
      <c r="F113" s="10" t="str">
        <f>TEXT(Table1[[#This Row],[Fecha de Nacimiento]],"mmmm")</f>
        <v>February</v>
      </c>
      <c r="G113" s="1" t="s">
        <v>3</v>
      </c>
      <c r="H113" s="1" t="s">
        <v>12</v>
      </c>
      <c r="I113" s="1" t="s">
        <v>9</v>
      </c>
      <c r="J113" s="1" t="str">
        <f t="shared" si="4"/>
        <v>No Aumento</v>
      </c>
      <c r="L113"/>
    </row>
    <row r="114" spans="1:12" x14ac:dyDescent="0.3">
      <c r="A114" s="1" t="s">
        <v>127</v>
      </c>
      <c r="B114" s="1" t="s">
        <v>225</v>
      </c>
      <c r="C114" s="7">
        <v>5742</v>
      </c>
      <c r="D114" s="3">
        <v>31863</v>
      </c>
      <c r="E114" s="10">
        <f t="shared" ca="1" si="3"/>
        <v>38.4</v>
      </c>
      <c r="F114" s="10" t="str">
        <f>TEXT(Table1[[#This Row],[Fecha de Nacimiento]],"mmmm")</f>
        <v>March</v>
      </c>
      <c r="G114" s="1" t="s">
        <v>8</v>
      </c>
      <c r="H114" s="1" t="s">
        <v>12</v>
      </c>
      <c r="I114" s="1" t="s">
        <v>14</v>
      </c>
      <c r="J114" s="1" t="str">
        <f t="shared" si="4"/>
        <v>No Aumento</v>
      </c>
      <c r="L114"/>
    </row>
    <row r="115" spans="1:12" x14ac:dyDescent="0.3">
      <c r="A115" s="1" t="s">
        <v>128</v>
      </c>
      <c r="B115" s="1" t="s">
        <v>223</v>
      </c>
      <c r="C115" s="7">
        <v>5400</v>
      </c>
      <c r="D115" s="3">
        <v>31915</v>
      </c>
      <c r="E115" s="10">
        <f t="shared" ca="1" si="3"/>
        <v>38.258333333333333</v>
      </c>
      <c r="F115" s="10" t="str">
        <f>TEXT(Table1[[#This Row],[Fecha de Nacimiento]],"mmmm")</f>
        <v>May</v>
      </c>
      <c r="G115" s="1" t="s">
        <v>8</v>
      </c>
      <c r="H115" s="1" t="s">
        <v>5</v>
      </c>
      <c r="I115" s="1" t="s">
        <v>9</v>
      </c>
      <c r="J115" s="1" t="str">
        <f t="shared" si="4"/>
        <v>No Aumento</v>
      </c>
      <c r="L115"/>
    </row>
    <row r="116" spans="1:12" x14ac:dyDescent="0.3">
      <c r="A116" s="1" t="s">
        <v>129</v>
      </c>
      <c r="B116" s="1" t="s">
        <v>220</v>
      </c>
      <c r="C116" s="7">
        <v>4180</v>
      </c>
      <c r="D116" s="3">
        <v>31967</v>
      </c>
      <c r="E116" s="10">
        <f t="shared" ca="1" si="3"/>
        <v>38.116666666666667</v>
      </c>
      <c r="F116" s="10" t="str">
        <f>TEXT(Table1[[#This Row],[Fecha de Nacimiento]],"mmmm")</f>
        <v>July</v>
      </c>
      <c r="G116" s="1" t="s">
        <v>3</v>
      </c>
      <c r="H116" s="1" t="s">
        <v>12</v>
      </c>
      <c r="I116" s="1" t="s">
        <v>9</v>
      </c>
      <c r="J116" s="1" t="str">
        <f t="shared" si="4"/>
        <v>No Aumento</v>
      </c>
      <c r="L116"/>
    </row>
    <row r="117" spans="1:12" x14ac:dyDescent="0.3">
      <c r="A117" s="1" t="s">
        <v>130</v>
      </c>
      <c r="B117" s="1" t="s">
        <v>220</v>
      </c>
      <c r="C117" s="7">
        <v>3080</v>
      </c>
      <c r="D117" s="3">
        <v>32013</v>
      </c>
      <c r="E117" s="10">
        <f t="shared" ca="1" si="3"/>
        <v>37.991666666666667</v>
      </c>
      <c r="F117" s="10" t="str">
        <f>TEXT(Table1[[#This Row],[Fecha de Nacimiento]],"mmmm")</f>
        <v>August</v>
      </c>
      <c r="G117" s="1" t="s">
        <v>8</v>
      </c>
      <c r="H117" s="1" t="s">
        <v>12</v>
      </c>
      <c r="I117" s="1" t="s">
        <v>9</v>
      </c>
      <c r="J117" s="1" t="str">
        <f t="shared" si="4"/>
        <v>No Aumento</v>
      </c>
      <c r="L117"/>
    </row>
    <row r="118" spans="1:12" x14ac:dyDescent="0.3">
      <c r="A118" s="1" t="s">
        <v>131</v>
      </c>
      <c r="B118" s="1" t="s">
        <v>220</v>
      </c>
      <c r="C118" s="7">
        <v>4620</v>
      </c>
      <c r="D118" s="3">
        <v>32095</v>
      </c>
      <c r="E118" s="10">
        <f t="shared" ca="1" si="3"/>
        <v>37.769444444444446</v>
      </c>
      <c r="F118" s="10" t="str">
        <f>TEXT(Table1[[#This Row],[Fecha de Nacimiento]],"mmmm")</f>
        <v>November</v>
      </c>
      <c r="G118" s="1" t="s">
        <v>8</v>
      </c>
      <c r="H118" s="1" t="s">
        <v>12</v>
      </c>
      <c r="I118" s="1" t="s">
        <v>9</v>
      </c>
      <c r="J118" s="1" t="str">
        <f t="shared" si="4"/>
        <v>No Aumento</v>
      </c>
      <c r="L118"/>
    </row>
    <row r="119" spans="1:12" x14ac:dyDescent="0.3">
      <c r="A119" s="1" t="s">
        <v>132</v>
      </c>
      <c r="B119" s="1" t="s">
        <v>220</v>
      </c>
      <c r="C119" s="7">
        <v>4400</v>
      </c>
      <c r="D119" s="3">
        <v>32174</v>
      </c>
      <c r="E119" s="10">
        <f t="shared" ca="1" si="3"/>
        <v>37.555555555555557</v>
      </c>
      <c r="F119" s="10" t="str">
        <f>TEXT(Table1[[#This Row],[Fecha de Nacimiento]],"mmmm")</f>
        <v>February</v>
      </c>
      <c r="G119" s="1" t="s">
        <v>8</v>
      </c>
      <c r="H119" s="1" t="s">
        <v>12</v>
      </c>
      <c r="I119" s="1" t="s">
        <v>9</v>
      </c>
      <c r="J119" s="1" t="str">
        <f t="shared" si="4"/>
        <v>No Aumento</v>
      </c>
      <c r="L119"/>
    </row>
    <row r="120" spans="1:12" x14ac:dyDescent="0.3">
      <c r="A120" s="1" t="s">
        <v>133</v>
      </c>
      <c r="B120" s="1" t="s">
        <v>220</v>
      </c>
      <c r="C120" s="7">
        <v>5280</v>
      </c>
      <c r="D120" s="3">
        <v>32184</v>
      </c>
      <c r="E120" s="10">
        <f t="shared" ca="1" si="3"/>
        <v>37.527777777777779</v>
      </c>
      <c r="F120" s="10" t="str">
        <f>TEXT(Table1[[#This Row],[Fecha de Nacimiento]],"mmmm")</f>
        <v>February</v>
      </c>
      <c r="G120" s="1" t="s">
        <v>8</v>
      </c>
      <c r="H120" s="1" t="s">
        <v>12</v>
      </c>
      <c r="I120" s="1" t="s">
        <v>9</v>
      </c>
      <c r="J120" s="1" t="str">
        <f t="shared" si="4"/>
        <v>No Aumento</v>
      </c>
      <c r="L120"/>
    </row>
    <row r="121" spans="1:12" x14ac:dyDescent="0.3">
      <c r="A121" s="1" t="s">
        <v>134</v>
      </c>
      <c r="B121" s="1" t="s">
        <v>220</v>
      </c>
      <c r="C121" s="7">
        <v>4840</v>
      </c>
      <c r="D121" s="3">
        <v>32190</v>
      </c>
      <c r="E121" s="10">
        <f t="shared" ca="1" si="3"/>
        <v>37.511111111111113</v>
      </c>
      <c r="F121" s="10" t="str">
        <f>TEXT(Table1[[#This Row],[Fecha de Nacimiento]],"mmmm")</f>
        <v>February</v>
      </c>
      <c r="G121" s="1" t="s">
        <v>8</v>
      </c>
      <c r="H121" s="1" t="s">
        <v>12</v>
      </c>
      <c r="I121" s="1" t="s">
        <v>9</v>
      </c>
      <c r="J121" s="1" t="str">
        <f t="shared" si="4"/>
        <v>No Aumento</v>
      </c>
      <c r="L121"/>
    </row>
    <row r="122" spans="1:12" x14ac:dyDescent="0.3">
      <c r="A122" s="1" t="s">
        <v>135</v>
      </c>
      <c r="B122" s="1" t="s">
        <v>242</v>
      </c>
      <c r="C122" s="7">
        <v>13200</v>
      </c>
      <c r="D122" s="3">
        <v>32219</v>
      </c>
      <c r="E122" s="10">
        <f t="shared" ca="1" si="3"/>
        <v>37.427777777777777</v>
      </c>
      <c r="F122" s="10" t="str">
        <f>TEXT(Table1[[#This Row],[Fecha de Nacimiento]],"mmmm")</f>
        <v>March</v>
      </c>
      <c r="G122" s="1" t="s">
        <v>8</v>
      </c>
      <c r="H122" s="1" t="s">
        <v>12</v>
      </c>
      <c r="I122" s="1" t="s">
        <v>14</v>
      </c>
      <c r="J122" s="1" t="str">
        <f t="shared" si="4"/>
        <v>Aumento</v>
      </c>
      <c r="L122"/>
    </row>
    <row r="123" spans="1:12" x14ac:dyDescent="0.3">
      <c r="A123" s="1" t="s">
        <v>136</v>
      </c>
      <c r="B123" s="1" t="s">
        <v>240</v>
      </c>
      <c r="C123" s="7">
        <v>8000</v>
      </c>
      <c r="D123" s="3">
        <v>32240</v>
      </c>
      <c r="E123" s="10">
        <f t="shared" ca="1" si="3"/>
        <v>37.37222222222222</v>
      </c>
      <c r="F123" s="10" t="str">
        <f>TEXT(Table1[[#This Row],[Fecha de Nacimiento]],"mmmm")</f>
        <v>April</v>
      </c>
      <c r="G123" s="1" t="s">
        <v>8</v>
      </c>
      <c r="H123" s="1" t="s">
        <v>4</v>
      </c>
      <c r="I123" s="1" t="s">
        <v>9</v>
      </c>
      <c r="J123" s="1" t="str">
        <f t="shared" si="4"/>
        <v>No Aumento</v>
      </c>
      <c r="L123"/>
    </row>
    <row r="124" spans="1:12" x14ac:dyDescent="0.3">
      <c r="A124" s="1" t="s">
        <v>137</v>
      </c>
      <c r="B124" s="1" t="s">
        <v>220</v>
      </c>
      <c r="C124" s="7">
        <v>4840</v>
      </c>
      <c r="D124" s="3">
        <v>32277</v>
      </c>
      <c r="E124" s="10">
        <f t="shared" ca="1" si="3"/>
        <v>37.269444444444446</v>
      </c>
      <c r="F124" s="10" t="str">
        <f>TEXT(Table1[[#This Row],[Fecha de Nacimiento]],"mmmm")</f>
        <v>May</v>
      </c>
      <c r="G124" s="1" t="s">
        <v>8</v>
      </c>
      <c r="H124" s="1" t="s">
        <v>12</v>
      </c>
      <c r="I124" s="1" t="s">
        <v>10</v>
      </c>
      <c r="J124" s="1" t="str">
        <f t="shared" si="4"/>
        <v>No Aumento</v>
      </c>
      <c r="L124"/>
    </row>
    <row r="125" spans="1:12" x14ac:dyDescent="0.3">
      <c r="A125" s="1" t="s">
        <v>138</v>
      </c>
      <c r="B125" s="1" t="s">
        <v>256</v>
      </c>
      <c r="C125" s="7">
        <v>10560</v>
      </c>
      <c r="D125" s="3">
        <v>32297</v>
      </c>
      <c r="E125" s="10">
        <f t="shared" ca="1" si="3"/>
        <v>37.216666666666669</v>
      </c>
      <c r="F125" s="10" t="str">
        <f>TEXT(Table1[[#This Row],[Fecha de Nacimiento]],"mmmm")</f>
        <v>June</v>
      </c>
      <c r="G125" s="1" t="s">
        <v>8</v>
      </c>
      <c r="H125" s="1" t="s">
        <v>4</v>
      </c>
      <c r="I125" s="1" t="s">
        <v>14</v>
      </c>
      <c r="J125" s="1" t="str">
        <f t="shared" si="4"/>
        <v>No Aumento</v>
      </c>
      <c r="L125"/>
    </row>
    <row r="126" spans="1:12" x14ac:dyDescent="0.3">
      <c r="A126" s="1" t="s">
        <v>139</v>
      </c>
      <c r="B126" s="1" t="s">
        <v>220</v>
      </c>
      <c r="C126" s="7">
        <v>3687</v>
      </c>
      <c r="D126" s="3">
        <v>32342</v>
      </c>
      <c r="E126" s="10">
        <f t="shared" ca="1" si="3"/>
        <v>37.091666666666669</v>
      </c>
      <c r="F126" s="10" t="str">
        <f>TEXT(Table1[[#This Row],[Fecha de Nacimiento]],"mmmm")</f>
        <v>July</v>
      </c>
      <c r="G126" s="1" t="s">
        <v>8</v>
      </c>
      <c r="H126" s="1" t="s">
        <v>12</v>
      </c>
      <c r="I126" s="1" t="s">
        <v>9</v>
      </c>
      <c r="J126" s="1" t="str">
        <f t="shared" si="4"/>
        <v>No Aumento</v>
      </c>
      <c r="L126"/>
    </row>
    <row r="127" spans="1:12" x14ac:dyDescent="0.3">
      <c r="A127" s="1" t="s">
        <v>140</v>
      </c>
      <c r="B127" s="1" t="s">
        <v>225</v>
      </c>
      <c r="C127" s="7">
        <v>4840</v>
      </c>
      <c r="D127" s="3">
        <v>32350</v>
      </c>
      <c r="E127" s="10">
        <f t="shared" ca="1" si="3"/>
        <v>37.069444444444443</v>
      </c>
      <c r="F127" s="10" t="str">
        <f>TEXT(Table1[[#This Row],[Fecha de Nacimiento]],"mmmm")</f>
        <v>July</v>
      </c>
      <c r="G127" s="1" t="s">
        <v>8</v>
      </c>
      <c r="H127" s="1" t="s">
        <v>12</v>
      </c>
      <c r="I127" s="1" t="s">
        <v>9</v>
      </c>
      <c r="J127" s="1" t="str">
        <f t="shared" si="4"/>
        <v>No Aumento</v>
      </c>
      <c r="L127"/>
    </row>
    <row r="128" spans="1:12" x14ac:dyDescent="0.3">
      <c r="A128" s="1" t="s">
        <v>141</v>
      </c>
      <c r="B128" s="1" t="s">
        <v>225</v>
      </c>
      <c r="C128" s="7">
        <v>5940</v>
      </c>
      <c r="D128" s="3">
        <v>32365</v>
      </c>
      <c r="E128" s="10">
        <f t="shared" ca="1" si="3"/>
        <v>37.030555555555559</v>
      </c>
      <c r="F128" s="10" t="str">
        <f>TEXT(Table1[[#This Row],[Fecha de Nacimiento]],"mmmm")</f>
        <v>August</v>
      </c>
      <c r="G128" s="1" t="s">
        <v>8</v>
      </c>
      <c r="H128" s="1" t="s">
        <v>12</v>
      </c>
      <c r="I128" s="1" t="s">
        <v>9</v>
      </c>
      <c r="J128" s="1" t="str">
        <f t="shared" si="4"/>
        <v>No Aumento</v>
      </c>
      <c r="L128"/>
    </row>
    <row r="129" spans="1:12" x14ac:dyDescent="0.3">
      <c r="A129" s="1" t="s">
        <v>142</v>
      </c>
      <c r="B129" s="1" t="s">
        <v>220</v>
      </c>
      <c r="C129" s="7">
        <v>4840</v>
      </c>
      <c r="D129" s="3">
        <v>32377</v>
      </c>
      <c r="E129" s="10">
        <f t="shared" ca="1" si="3"/>
        <v>36.99722222222222</v>
      </c>
      <c r="F129" s="10" t="str">
        <f>TEXT(Table1[[#This Row],[Fecha de Nacimiento]],"mmmm")</f>
        <v>August</v>
      </c>
      <c r="G129" s="1" t="s">
        <v>8</v>
      </c>
      <c r="H129" s="1" t="s">
        <v>12</v>
      </c>
      <c r="I129" s="1" t="s">
        <v>9</v>
      </c>
      <c r="J129" s="1" t="str">
        <f t="shared" si="4"/>
        <v>No Aumento</v>
      </c>
      <c r="L129"/>
    </row>
    <row r="130" spans="1:12" x14ac:dyDescent="0.3">
      <c r="A130" s="1" t="s">
        <v>143</v>
      </c>
      <c r="B130" s="1" t="s">
        <v>221</v>
      </c>
      <c r="C130" s="7">
        <v>11836</v>
      </c>
      <c r="D130" s="3">
        <v>32386</v>
      </c>
      <c r="E130" s="10">
        <f t="shared" ref="E130:E193" ca="1" si="5">YEARFRAC(TODAY(),D130)</f>
        <v>36.975000000000001</v>
      </c>
      <c r="F130" s="10" t="str">
        <f>TEXT(Table1[[#This Row],[Fecha de Nacimiento]],"mmmm")</f>
        <v>August</v>
      </c>
      <c r="G130" s="1" t="s">
        <v>3</v>
      </c>
      <c r="H130" s="1" t="s">
        <v>4</v>
      </c>
      <c r="I130" s="1" t="s">
        <v>9</v>
      </c>
      <c r="J130" s="1" t="str">
        <f t="shared" ref="J130:J193" si="6">IF(C130&gt;12000,"Aumento","No Aumento")</f>
        <v>No Aumento</v>
      </c>
      <c r="L130"/>
    </row>
    <row r="131" spans="1:12" x14ac:dyDescent="0.3">
      <c r="A131" s="1" t="s">
        <v>144</v>
      </c>
      <c r="B131" s="1" t="s">
        <v>230</v>
      </c>
      <c r="C131" s="7">
        <v>12100</v>
      </c>
      <c r="D131" s="3">
        <v>32392</v>
      </c>
      <c r="E131" s="10">
        <f t="shared" ca="1" si="5"/>
        <v>36.958333333333336</v>
      </c>
      <c r="F131" s="10" t="str">
        <f>TEXT(Table1[[#This Row],[Fecha de Nacimiento]],"mmmm")</f>
        <v>September</v>
      </c>
      <c r="G131" s="1" t="s">
        <v>8</v>
      </c>
      <c r="H131" s="1" t="s">
        <v>12</v>
      </c>
      <c r="I131" s="1" t="s">
        <v>14</v>
      </c>
      <c r="J131" s="1" t="str">
        <f t="shared" si="6"/>
        <v>Aumento</v>
      </c>
      <c r="L131"/>
    </row>
    <row r="132" spans="1:12" x14ac:dyDescent="0.3">
      <c r="A132" s="1" t="s">
        <v>145</v>
      </c>
      <c r="B132" s="1" t="s">
        <v>220</v>
      </c>
      <c r="C132" s="7">
        <v>4400</v>
      </c>
      <c r="D132" s="3">
        <v>32421</v>
      </c>
      <c r="E132" s="10">
        <f t="shared" ca="1" si="5"/>
        <v>36.87777777777778</v>
      </c>
      <c r="F132" s="10" t="str">
        <f>TEXT(Table1[[#This Row],[Fecha de Nacimiento]],"mmmm")</f>
        <v>October</v>
      </c>
      <c r="G132" s="1" t="s">
        <v>8</v>
      </c>
      <c r="H132" s="1" t="s">
        <v>12</v>
      </c>
      <c r="I132" s="1" t="s">
        <v>14</v>
      </c>
      <c r="J132" s="1" t="str">
        <f t="shared" si="6"/>
        <v>No Aumento</v>
      </c>
      <c r="L132"/>
    </row>
    <row r="133" spans="1:12" x14ac:dyDescent="0.3">
      <c r="A133" s="1" t="s">
        <v>146</v>
      </c>
      <c r="B133" s="1" t="s">
        <v>224</v>
      </c>
      <c r="C133" s="7">
        <v>8000</v>
      </c>
      <c r="D133" s="3">
        <v>32513</v>
      </c>
      <c r="E133" s="10">
        <f t="shared" ca="1" si="5"/>
        <v>36.62777777777778</v>
      </c>
      <c r="F133" s="10" t="str">
        <f>TEXT(Table1[[#This Row],[Fecha de Nacimiento]],"mmmm")</f>
        <v>January</v>
      </c>
      <c r="G133" s="1" t="s">
        <v>3</v>
      </c>
      <c r="H133" s="1" t="s">
        <v>5</v>
      </c>
      <c r="I133" s="1" t="s">
        <v>9</v>
      </c>
      <c r="J133" s="1" t="str">
        <f t="shared" si="6"/>
        <v>No Aumento</v>
      </c>
      <c r="L133"/>
    </row>
    <row r="134" spans="1:12" x14ac:dyDescent="0.3">
      <c r="A134" s="1" t="s">
        <v>147</v>
      </c>
      <c r="B134" s="1" t="s">
        <v>229</v>
      </c>
      <c r="C134" s="7">
        <v>7480</v>
      </c>
      <c r="D134" s="3">
        <v>32558</v>
      </c>
      <c r="E134" s="10">
        <f t="shared" ca="1" si="5"/>
        <v>36.505555555555553</v>
      </c>
      <c r="F134" s="10" t="str">
        <f>TEXT(Table1[[#This Row],[Fecha de Nacimiento]],"mmmm")</f>
        <v>February</v>
      </c>
      <c r="G134" s="1" t="s">
        <v>8</v>
      </c>
      <c r="H134" s="1" t="s">
        <v>4</v>
      </c>
      <c r="I134" s="1" t="s">
        <v>9</v>
      </c>
      <c r="J134" s="1" t="str">
        <f t="shared" si="6"/>
        <v>No Aumento</v>
      </c>
      <c r="L134"/>
    </row>
    <row r="135" spans="1:12" x14ac:dyDescent="0.3">
      <c r="A135" s="1" t="s">
        <v>148</v>
      </c>
      <c r="B135" s="1" t="s">
        <v>220</v>
      </c>
      <c r="C135" s="7">
        <v>4180</v>
      </c>
      <c r="D135" s="3">
        <v>32598</v>
      </c>
      <c r="E135" s="10">
        <f t="shared" ca="1" si="5"/>
        <v>36.391666666666666</v>
      </c>
      <c r="F135" s="10" t="str">
        <f>TEXT(Table1[[#This Row],[Fecha de Nacimiento]],"mmmm")</f>
        <v>March</v>
      </c>
      <c r="G135" s="1" t="s">
        <v>8</v>
      </c>
      <c r="H135" s="1" t="s">
        <v>12</v>
      </c>
      <c r="I135" s="1" t="s">
        <v>9</v>
      </c>
      <c r="J135" s="1" t="str">
        <f t="shared" si="6"/>
        <v>No Aumento</v>
      </c>
      <c r="L135"/>
    </row>
    <row r="136" spans="1:12" x14ac:dyDescent="0.3">
      <c r="A136" s="1" t="s">
        <v>149</v>
      </c>
      <c r="B136" s="1" t="s">
        <v>243</v>
      </c>
      <c r="C136" s="7">
        <v>5060</v>
      </c>
      <c r="D136" s="3">
        <v>32623</v>
      </c>
      <c r="E136" s="10">
        <f t="shared" ca="1" si="5"/>
        <v>36.322222222222223</v>
      </c>
      <c r="F136" s="10" t="str">
        <f>TEXT(Table1[[#This Row],[Fecha de Nacimiento]],"mmmm")</f>
        <v>April</v>
      </c>
      <c r="G136" s="1" t="s">
        <v>8</v>
      </c>
      <c r="H136" s="1" t="s">
        <v>11</v>
      </c>
      <c r="I136" s="1" t="s">
        <v>9</v>
      </c>
      <c r="J136" s="1" t="str">
        <f t="shared" si="6"/>
        <v>No Aumento</v>
      </c>
      <c r="L136"/>
    </row>
    <row r="137" spans="1:12" x14ac:dyDescent="0.3">
      <c r="A137" s="1" t="s">
        <v>150</v>
      </c>
      <c r="B137" s="1" t="s">
        <v>220</v>
      </c>
      <c r="C137" s="7">
        <v>3300</v>
      </c>
      <c r="D137" s="3">
        <v>32695</v>
      </c>
      <c r="E137" s="10">
        <f t="shared" ca="1" si="5"/>
        <v>36.125</v>
      </c>
      <c r="F137" s="10" t="str">
        <f>TEXT(Table1[[#This Row],[Fecha de Nacimiento]],"mmmm")</f>
        <v>July</v>
      </c>
      <c r="G137" s="1" t="s">
        <v>8</v>
      </c>
      <c r="H137" s="1" t="s">
        <v>12</v>
      </c>
      <c r="I137" s="1" t="s">
        <v>9</v>
      </c>
      <c r="J137" s="1" t="str">
        <f t="shared" si="6"/>
        <v>No Aumento</v>
      </c>
      <c r="L137"/>
    </row>
    <row r="138" spans="1:12" x14ac:dyDescent="0.3">
      <c r="A138" s="1" t="s">
        <v>151</v>
      </c>
      <c r="B138" s="1" t="s">
        <v>220</v>
      </c>
      <c r="C138" s="7">
        <v>4180</v>
      </c>
      <c r="D138" s="3">
        <v>32695</v>
      </c>
      <c r="E138" s="10">
        <f t="shared" ca="1" si="5"/>
        <v>36.125</v>
      </c>
      <c r="F138" s="10" t="str">
        <f>TEXT(Table1[[#This Row],[Fecha de Nacimiento]],"mmmm")</f>
        <v>July</v>
      </c>
      <c r="G138" s="1" t="s">
        <v>8</v>
      </c>
      <c r="H138" s="1" t="s">
        <v>12</v>
      </c>
      <c r="I138" s="1" t="s">
        <v>9</v>
      </c>
      <c r="J138" s="1" t="str">
        <f t="shared" si="6"/>
        <v>No Aumento</v>
      </c>
      <c r="L138"/>
    </row>
    <row r="139" spans="1:12" x14ac:dyDescent="0.3">
      <c r="A139" s="1" t="s">
        <v>152</v>
      </c>
      <c r="B139" s="1" t="s">
        <v>244</v>
      </c>
      <c r="C139" s="7">
        <v>12320</v>
      </c>
      <c r="D139" s="3">
        <v>32735</v>
      </c>
      <c r="E139" s="10">
        <f t="shared" ca="1" si="5"/>
        <v>36.016666666666666</v>
      </c>
      <c r="F139" s="10" t="str">
        <f>TEXT(Table1[[#This Row],[Fecha de Nacimiento]],"mmmm")</f>
        <v>August</v>
      </c>
      <c r="G139" s="1" t="s">
        <v>8</v>
      </c>
      <c r="H139" s="1" t="s">
        <v>5</v>
      </c>
      <c r="I139" s="1" t="s">
        <v>10</v>
      </c>
      <c r="J139" s="1" t="str">
        <f t="shared" si="6"/>
        <v>Aumento</v>
      </c>
      <c r="L139"/>
    </row>
    <row r="140" spans="1:12" x14ac:dyDescent="0.3">
      <c r="A140" s="1" t="s">
        <v>53</v>
      </c>
      <c r="B140" s="1" t="s">
        <v>236</v>
      </c>
      <c r="C140" s="7">
        <v>9405</v>
      </c>
      <c r="D140" s="3">
        <v>32766</v>
      </c>
      <c r="E140" s="10">
        <f t="shared" ca="1" si="5"/>
        <v>35.93333333333333</v>
      </c>
      <c r="F140" s="10" t="str">
        <f>TEXT(Table1[[#This Row],[Fecha de Nacimiento]],"mmmm")</f>
        <v>September</v>
      </c>
      <c r="G140" s="1" t="s">
        <v>3</v>
      </c>
      <c r="H140" s="1" t="s">
        <v>4</v>
      </c>
      <c r="I140" s="1" t="s">
        <v>14</v>
      </c>
      <c r="J140" s="1" t="str">
        <f t="shared" si="6"/>
        <v>No Aumento</v>
      </c>
      <c r="L140"/>
    </row>
    <row r="141" spans="1:12" x14ac:dyDescent="0.3">
      <c r="A141" s="1" t="s">
        <v>153</v>
      </c>
      <c r="B141" s="1" t="s">
        <v>257</v>
      </c>
      <c r="C141" s="7">
        <v>12100</v>
      </c>
      <c r="D141" s="3">
        <v>32786</v>
      </c>
      <c r="E141" s="10">
        <f t="shared" ca="1" si="5"/>
        <v>35.87777777777778</v>
      </c>
      <c r="F141" s="10" t="str">
        <f>TEXT(Table1[[#This Row],[Fecha de Nacimiento]],"mmmm")</f>
        <v>October</v>
      </c>
      <c r="G141" s="1" t="s">
        <v>3</v>
      </c>
      <c r="H141" s="1" t="s">
        <v>11</v>
      </c>
      <c r="I141" s="1" t="s">
        <v>9</v>
      </c>
      <c r="J141" s="1" t="str">
        <f t="shared" si="6"/>
        <v>Aumento</v>
      </c>
      <c r="L141"/>
    </row>
    <row r="142" spans="1:12" x14ac:dyDescent="0.3">
      <c r="A142" s="1" t="s">
        <v>154</v>
      </c>
      <c r="B142" s="1" t="s">
        <v>225</v>
      </c>
      <c r="C142" s="7">
        <v>5500</v>
      </c>
      <c r="D142" s="3">
        <v>32814</v>
      </c>
      <c r="E142" s="10">
        <f t="shared" ca="1" si="5"/>
        <v>35.802777777777777</v>
      </c>
      <c r="F142" s="10" t="str">
        <f>TEXT(Table1[[#This Row],[Fecha de Nacimiento]],"mmmm")</f>
        <v>November</v>
      </c>
      <c r="G142" s="1" t="s">
        <v>8</v>
      </c>
      <c r="H142" s="1" t="s">
        <v>12</v>
      </c>
      <c r="I142" s="1" t="s">
        <v>9</v>
      </c>
      <c r="J142" s="1" t="str">
        <f t="shared" si="6"/>
        <v>No Aumento</v>
      </c>
      <c r="L142"/>
    </row>
    <row r="143" spans="1:12" x14ac:dyDescent="0.3">
      <c r="A143" s="1" t="s">
        <v>155</v>
      </c>
      <c r="B143" s="1" t="s">
        <v>220</v>
      </c>
      <c r="C143" s="7">
        <v>3740</v>
      </c>
      <c r="D143" s="3">
        <v>32900</v>
      </c>
      <c r="E143" s="10">
        <f t="shared" ca="1" si="5"/>
        <v>35.56666666666667</v>
      </c>
      <c r="F143" s="10" t="str">
        <f>TEXT(Table1[[#This Row],[Fecha de Nacimiento]],"mmmm")</f>
        <v>January</v>
      </c>
      <c r="G143" s="1" t="s">
        <v>8</v>
      </c>
      <c r="H143" s="1" t="s">
        <v>12</v>
      </c>
      <c r="I143" s="1" t="s">
        <v>14</v>
      </c>
      <c r="J143" s="1" t="str">
        <f t="shared" si="6"/>
        <v>No Aumento</v>
      </c>
      <c r="L143"/>
    </row>
    <row r="144" spans="1:12" x14ac:dyDescent="0.3">
      <c r="A144" s="1" t="s">
        <v>156</v>
      </c>
      <c r="B144" s="1" t="s">
        <v>220</v>
      </c>
      <c r="C144" s="7">
        <v>4840</v>
      </c>
      <c r="D144" s="3">
        <v>32945</v>
      </c>
      <c r="E144" s="10">
        <f t="shared" ca="1" si="5"/>
        <v>35.43888888888889</v>
      </c>
      <c r="F144" s="10" t="str">
        <f>TEXT(Table1[[#This Row],[Fecha de Nacimiento]],"mmmm")</f>
        <v>March</v>
      </c>
      <c r="G144" s="1" t="s">
        <v>3</v>
      </c>
      <c r="H144" s="1" t="s">
        <v>12</v>
      </c>
      <c r="I144" s="1" t="s">
        <v>9</v>
      </c>
      <c r="J144" s="1" t="str">
        <f t="shared" si="6"/>
        <v>No Aumento</v>
      </c>
      <c r="L144"/>
    </row>
    <row r="145" spans="1:12" x14ac:dyDescent="0.3">
      <c r="A145" s="1" t="s">
        <v>157</v>
      </c>
      <c r="B145" s="1" t="s">
        <v>225</v>
      </c>
      <c r="C145" s="7">
        <v>4840</v>
      </c>
      <c r="D145" s="3">
        <v>32982</v>
      </c>
      <c r="E145" s="10">
        <f t="shared" ca="1" si="5"/>
        <v>35.338888888888889</v>
      </c>
      <c r="F145" s="10" t="str">
        <f>TEXT(Table1[[#This Row],[Fecha de Nacimiento]],"mmmm")</f>
        <v>April</v>
      </c>
      <c r="G145" s="1" t="s">
        <v>8</v>
      </c>
      <c r="H145" s="1" t="s">
        <v>12</v>
      </c>
      <c r="I145" s="1" t="s">
        <v>9</v>
      </c>
      <c r="J145" s="1" t="str">
        <f t="shared" si="6"/>
        <v>No Aumento</v>
      </c>
      <c r="L145"/>
    </row>
    <row r="146" spans="1:12" x14ac:dyDescent="0.3">
      <c r="A146" s="1" t="s">
        <v>158</v>
      </c>
      <c r="B146" s="1" t="s">
        <v>229</v>
      </c>
      <c r="C146" s="7">
        <v>6378</v>
      </c>
      <c r="D146" s="3">
        <v>33001</v>
      </c>
      <c r="E146" s="10">
        <f t="shared" ca="1" si="5"/>
        <v>35.286111111111111</v>
      </c>
      <c r="F146" s="10" t="str">
        <f>TEXT(Table1[[#This Row],[Fecha de Nacimiento]],"mmmm")</f>
        <v>May</v>
      </c>
      <c r="G146" s="1" t="s">
        <v>8</v>
      </c>
      <c r="H146" s="1" t="s">
        <v>4</v>
      </c>
      <c r="I146" s="1" t="s">
        <v>9</v>
      </c>
      <c r="J146" s="1" t="str">
        <f t="shared" si="6"/>
        <v>No Aumento</v>
      </c>
      <c r="L146"/>
    </row>
    <row r="147" spans="1:12" x14ac:dyDescent="0.3">
      <c r="A147" s="1" t="s">
        <v>159</v>
      </c>
      <c r="B147" s="1" t="s">
        <v>220</v>
      </c>
      <c r="C147" s="7">
        <v>4400</v>
      </c>
      <c r="D147" s="3">
        <v>33027</v>
      </c>
      <c r="E147" s="10">
        <f t="shared" ca="1" si="5"/>
        <v>35.216666666666669</v>
      </c>
      <c r="F147" s="10" t="str">
        <f>TEXT(Table1[[#This Row],[Fecha de Nacimiento]],"mmmm")</f>
        <v>June</v>
      </c>
      <c r="G147" s="1" t="s">
        <v>8</v>
      </c>
      <c r="H147" s="1" t="s">
        <v>12</v>
      </c>
      <c r="I147" s="1" t="s">
        <v>9</v>
      </c>
      <c r="J147" s="1" t="str">
        <f t="shared" si="6"/>
        <v>No Aumento</v>
      </c>
      <c r="L147"/>
    </row>
    <row r="148" spans="1:12" x14ac:dyDescent="0.3">
      <c r="A148" s="1" t="s">
        <v>160</v>
      </c>
      <c r="B148" s="1" t="s">
        <v>220</v>
      </c>
      <c r="C148" s="7">
        <v>3300</v>
      </c>
      <c r="D148" s="3">
        <v>33108</v>
      </c>
      <c r="E148" s="10">
        <f t="shared" ca="1" si="5"/>
        <v>34.994444444444447</v>
      </c>
      <c r="F148" s="10" t="str">
        <f>TEXT(Table1[[#This Row],[Fecha de Nacimiento]],"mmmm")</f>
        <v>August</v>
      </c>
      <c r="G148" s="1" t="s">
        <v>3</v>
      </c>
      <c r="H148" s="1" t="s">
        <v>12</v>
      </c>
      <c r="I148" s="1" t="s">
        <v>9</v>
      </c>
      <c r="J148" s="1" t="str">
        <f t="shared" si="6"/>
        <v>No Aumento</v>
      </c>
      <c r="L148"/>
    </row>
    <row r="149" spans="1:12" x14ac:dyDescent="0.3">
      <c r="A149" s="1" t="s">
        <v>161</v>
      </c>
      <c r="B149" s="1" t="s">
        <v>220</v>
      </c>
      <c r="C149" s="7">
        <v>4180</v>
      </c>
      <c r="D149" s="3">
        <v>33130</v>
      </c>
      <c r="E149" s="10">
        <f t="shared" ca="1" si="5"/>
        <v>34.93611111111111</v>
      </c>
      <c r="F149" s="10" t="str">
        <f>TEXT(Table1[[#This Row],[Fecha de Nacimiento]],"mmmm")</f>
        <v>September</v>
      </c>
      <c r="G149" s="1" t="s">
        <v>8</v>
      </c>
      <c r="H149" s="1" t="s">
        <v>12</v>
      </c>
      <c r="I149" s="1" t="s">
        <v>9</v>
      </c>
      <c r="J149" s="1" t="str">
        <f t="shared" si="6"/>
        <v>No Aumento</v>
      </c>
      <c r="L149"/>
    </row>
    <row r="150" spans="1:12" x14ac:dyDescent="0.3">
      <c r="A150" s="1" t="s">
        <v>162</v>
      </c>
      <c r="B150" s="1" t="s">
        <v>225</v>
      </c>
      <c r="C150" s="7">
        <v>5335</v>
      </c>
      <c r="D150" s="3">
        <v>33181</v>
      </c>
      <c r="E150" s="10">
        <f t="shared" ca="1" si="5"/>
        <v>34.797222222222224</v>
      </c>
      <c r="F150" s="10" t="str">
        <f>TEXT(Table1[[#This Row],[Fecha de Nacimiento]],"mmmm")</f>
        <v>November</v>
      </c>
      <c r="G150" s="1" t="s">
        <v>8</v>
      </c>
      <c r="H150" s="1" t="s">
        <v>12</v>
      </c>
      <c r="I150" s="1" t="s">
        <v>9</v>
      </c>
      <c r="J150" s="1" t="str">
        <f t="shared" si="6"/>
        <v>No Aumento</v>
      </c>
      <c r="L150"/>
    </row>
    <row r="151" spans="1:12" x14ac:dyDescent="0.3">
      <c r="A151" s="1" t="s">
        <v>163</v>
      </c>
      <c r="B151" s="1" t="s">
        <v>225</v>
      </c>
      <c r="C151" s="7">
        <v>5806</v>
      </c>
      <c r="D151" s="3">
        <v>33199</v>
      </c>
      <c r="E151" s="10">
        <f t="shared" ca="1" si="5"/>
        <v>34.74722222222222</v>
      </c>
      <c r="F151" s="10" t="str">
        <f>TEXT(Table1[[#This Row],[Fecha de Nacimiento]],"mmmm")</f>
        <v>November</v>
      </c>
      <c r="G151" s="1" t="s">
        <v>8</v>
      </c>
      <c r="H151" s="1" t="s">
        <v>12</v>
      </c>
      <c r="I151" s="1" t="s">
        <v>9</v>
      </c>
      <c r="J151" s="1" t="str">
        <f t="shared" si="6"/>
        <v>No Aumento</v>
      </c>
      <c r="L151"/>
    </row>
    <row r="152" spans="1:12" x14ac:dyDescent="0.3">
      <c r="A152" s="1" t="s">
        <v>164</v>
      </c>
      <c r="B152" s="1" t="s">
        <v>243</v>
      </c>
      <c r="C152" s="7">
        <v>6380</v>
      </c>
      <c r="D152" s="3">
        <v>33246</v>
      </c>
      <c r="E152" s="10">
        <f t="shared" ca="1" si="5"/>
        <v>34.619444444444447</v>
      </c>
      <c r="F152" s="10" t="str">
        <f>TEXT(Table1[[#This Row],[Fecha de Nacimiento]],"mmmm")</f>
        <v>January</v>
      </c>
      <c r="G152" s="1" t="s">
        <v>8</v>
      </c>
      <c r="H152" s="1" t="s">
        <v>11</v>
      </c>
      <c r="I152" s="1" t="s">
        <v>9</v>
      </c>
      <c r="J152" s="1" t="str">
        <f t="shared" si="6"/>
        <v>No Aumento</v>
      </c>
      <c r="L152"/>
    </row>
    <row r="153" spans="1:12" x14ac:dyDescent="0.3">
      <c r="A153" s="1" t="s">
        <v>165</v>
      </c>
      <c r="B153" s="1" t="s">
        <v>221</v>
      </c>
      <c r="C153" s="7">
        <v>12364</v>
      </c>
      <c r="D153" s="3">
        <v>33350</v>
      </c>
      <c r="E153" s="10">
        <f t="shared" ca="1" si="5"/>
        <v>34.330555555555556</v>
      </c>
      <c r="F153" s="10" t="str">
        <f>TEXT(Table1[[#This Row],[Fecha de Nacimiento]],"mmmm")</f>
        <v>April</v>
      </c>
      <c r="G153" s="1" t="s">
        <v>3</v>
      </c>
      <c r="H153" s="1" t="s">
        <v>4</v>
      </c>
      <c r="I153" s="1" t="s">
        <v>9</v>
      </c>
      <c r="J153" s="1" t="str">
        <f t="shared" si="6"/>
        <v>Aumento</v>
      </c>
      <c r="L153"/>
    </row>
    <row r="154" spans="1:12" x14ac:dyDescent="0.3">
      <c r="A154" s="1" t="s">
        <v>166</v>
      </c>
      <c r="B154" s="1" t="s">
        <v>225</v>
      </c>
      <c r="C154" s="7">
        <v>6380</v>
      </c>
      <c r="D154" s="3">
        <v>33353</v>
      </c>
      <c r="E154" s="10">
        <f t="shared" ca="1" si="5"/>
        <v>34.322222222222223</v>
      </c>
      <c r="F154" s="10" t="str">
        <f>TEXT(Table1[[#This Row],[Fecha de Nacimiento]],"mmmm")</f>
        <v>April</v>
      </c>
      <c r="G154" s="1" t="s">
        <v>3</v>
      </c>
      <c r="H154" s="1" t="s">
        <v>12</v>
      </c>
      <c r="I154" s="1" t="s">
        <v>9</v>
      </c>
      <c r="J154" s="1" t="str">
        <f t="shared" si="6"/>
        <v>No Aumento</v>
      </c>
      <c r="L154"/>
    </row>
    <row r="155" spans="1:12" x14ac:dyDescent="0.3">
      <c r="A155" s="1" t="s">
        <v>167</v>
      </c>
      <c r="B155" s="1" t="s">
        <v>234</v>
      </c>
      <c r="C155" s="7">
        <v>13860</v>
      </c>
      <c r="D155" s="3">
        <v>33367</v>
      </c>
      <c r="E155" s="10">
        <f t="shared" ca="1" si="5"/>
        <v>34.283333333333331</v>
      </c>
      <c r="F155" s="10" t="str">
        <f>TEXT(Table1[[#This Row],[Fecha de Nacimiento]],"mmmm")</f>
        <v>May</v>
      </c>
      <c r="G155" s="1" t="s">
        <v>3</v>
      </c>
      <c r="H155" s="1" t="s">
        <v>4</v>
      </c>
      <c r="I155" s="1" t="s">
        <v>10</v>
      </c>
      <c r="J155" s="1" t="str">
        <f t="shared" si="6"/>
        <v>Aumento</v>
      </c>
      <c r="L155"/>
    </row>
    <row r="156" spans="1:12" x14ac:dyDescent="0.3">
      <c r="A156" s="1" t="s">
        <v>168</v>
      </c>
      <c r="B156" s="1" t="s">
        <v>225</v>
      </c>
      <c r="C156" s="7">
        <v>5335</v>
      </c>
      <c r="D156" s="3">
        <v>33382</v>
      </c>
      <c r="E156" s="10">
        <f t="shared" ca="1" si="5"/>
        <v>34.241666666666667</v>
      </c>
      <c r="F156" s="10" t="str">
        <f>TEXT(Table1[[#This Row],[Fecha de Nacimiento]],"mmmm")</f>
        <v>May</v>
      </c>
      <c r="G156" s="1" t="s">
        <v>3</v>
      </c>
      <c r="H156" s="1" t="s">
        <v>12</v>
      </c>
      <c r="I156" s="1" t="s">
        <v>9</v>
      </c>
      <c r="J156" s="1" t="str">
        <f t="shared" si="6"/>
        <v>No Aumento</v>
      </c>
      <c r="L156"/>
    </row>
    <row r="157" spans="1:12" x14ac:dyDescent="0.3">
      <c r="A157" s="1" t="s">
        <v>169</v>
      </c>
      <c r="B157" s="1" t="s">
        <v>258</v>
      </c>
      <c r="C157" s="7">
        <v>13486</v>
      </c>
      <c r="D157" s="3">
        <v>33394</v>
      </c>
      <c r="E157" s="10">
        <f t="shared" ca="1" si="5"/>
        <v>34.211111111111109</v>
      </c>
      <c r="F157" s="10" t="str">
        <f>TEXT(Table1[[#This Row],[Fecha de Nacimiento]],"mmmm")</f>
        <v>June</v>
      </c>
      <c r="G157" s="1" t="s">
        <v>8</v>
      </c>
      <c r="H157" s="1" t="s">
        <v>4</v>
      </c>
      <c r="I157" s="1" t="s">
        <v>9</v>
      </c>
      <c r="J157" s="1" t="str">
        <f t="shared" si="6"/>
        <v>Aumento</v>
      </c>
      <c r="L157"/>
    </row>
    <row r="158" spans="1:12" x14ac:dyDescent="0.3">
      <c r="A158" s="1" t="s">
        <v>170</v>
      </c>
      <c r="B158" s="1" t="s">
        <v>225</v>
      </c>
      <c r="C158" s="7">
        <v>4950</v>
      </c>
      <c r="D158" s="3">
        <v>33399</v>
      </c>
      <c r="E158" s="10">
        <f t="shared" ca="1" si="5"/>
        <v>34.197222222222223</v>
      </c>
      <c r="F158" s="10" t="str">
        <f>TEXT(Table1[[#This Row],[Fecha de Nacimiento]],"mmmm")</f>
        <v>June</v>
      </c>
      <c r="G158" s="1" t="s">
        <v>8</v>
      </c>
      <c r="H158" s="1" t="s">
        <v>12</v>
      </c>
      <c r="I158" s="1" t="s">
        <v>14</v>
      </c>
      <c r="J158" s="1" t="str">
        <f t="shared" si="6"/>
        <v>No Aumento</v>
      </c>
      <c r="L158"/>
    </row>
    <row r="159" spans="1:12" x14ac:dyDescent="0.3">
      <c r="A159" s="1" t="s">
        <v>171</v>
      </c>
      <c r="B159" s="1" t="s">
        <v>220</v>
      </c>
      <c r="C159" s="7">
        <v>3740</v>
      </c>
      <c r="D159" s="3">
        <v>33425</v>
      </c>
      <c r="E159" s="10">
        <f t="shared" ca="1" si="5"/>
        <v>34.125</v>
      </c>
      <c r="F159" s="10" t="str">
        <f>TEXT(Table1[[#This Row],[Fecha de Nacimiento]],"mmmm")</f>
        <v>July</v>
      </c>
      <c r="G159" s="1" t="s">
        <v>8</v>
      </c>
      <c r="H159" s="1" t="s">
        <v>12</v>
      </c>
      <c r="I159" s="1" t="s">
        <v>9</v>
      </c>
      <c r="J159" s="1" t="str">
        <f t="shared" si="6"/>
        <v>No Aumento</v>
      </c>
      <c r="L159"/>
    </row>
    <row r="160" spans="1:12" x14ac:dyDescent="0.3">
      <c r="A160" s="1" t="s">
        <v>172</v>
      </c>
      <c r="B160" s="1" t="s">
        <v>220</v>
      </c>
      <c r="C160" s="7">
        <v>3685</v>
      </c>
      <c r="D160" s="3">
        <v>33428</v>
      </c>
      <c r="E160" s="10">
        <f t="shared" ca="1" si="5"/>
        <v>34.116666666666667</v>
      </c>
      <c r="F160" s="10" t="str">
        <f>TEXT(Table1[[#This Row],[Fecha de Nacimiento]],"mmmm")</f>
        <v>July</v>
      </c>
      <c r="G160" s="1" t="s">
        <v>8</v>
      </c>
      <c r="H160" s="1" t="s">
        <v>12</v>
      </c>
      <c r="I160" s="1" t="s">
        <v>9</v>
      </c>
      <c r="J160" s="1" t="str">
        <f t="shared" si="6"/>
        <v>No Aumento</v>
      </c>
      <c r="L160"/>
    </row>
    <row r="161" spans="1:12" x14ac:dyDescent="0.3">
      <c r="A161" s="1" t="s">
        <v>173</v>
      </c>
      <c r="B161" s="1" t="s">
        <v>229</v>
      </c>
      <c r="C161" s="7">
        <v>8800</v>
      </c>
      <c r="D161" s="3">
        <v>33429</v>
      </c>
      <c r="E161" s="10">
        <f t="shared" ca="1" si="5"/>
        <v>34.113888888888887</v>
      </c>
      <c r="F161" s="10" t="str">
        <f>TEXT(Table1[[#This Row],[Fecha de Nacimiento]],"mmmm")</f>
        <v>July</v>
      </c>
      <c r="G161" s="1" t="s">
        <v>3</v>
      </c>
      <c r="H161" s="1" t="s">
        <v>4</v>
      </c>
      <c r="I161" s="1" t="s">
        <v>9</v>
      </c>
      <c r="J161" s="1" t="str">
        <f t="shared" si="6"/>
        <v>No Aumento</v>
      </c>
      <c r="L161"/>
    </row>
    <row r="162" spans="1:12" x14ac:dyDescent="0.3">
      <c r="A162" s="1" t="s">
        <v>174</v>
      </c>
      <c r="B162" s="1" t="s">
        <v>259</v>
      </c>
      <c r="C162" s="7">
        <v>10835</v>
      </c>
      <c r="D162" s="3">
        <v>33442</v>
      </c>
      <c r="E162" s="10">
        <f t="shared" ca="1" si="5"/>
        <v>34.077777777777776</v>
      </c>
      <c r="F162" s="10" t="str">
        <f>TEXT(Table1[[#This Row],[Fecha de Nacimiento]],"mmmm")</f>
        <v>July</v>
      </c>
      <c r="G162" s="1" t="s">
        <v>3</v>
      </c>
      <c r="H162" s="1" t="s">
        <v>4</v>
      </c>
      <c r="I162" s="1" t="s">
        <v>9</v>
      </c>
      <c r="J162" s="1" t="str">
        <f t="shared" si="6"/>
        <v>No Aumento</v>
      </c>
      <c r="L162"/>
    </row>
    <row r="163" spans="1:12" x14ac:dyDescent="0.3">
      <c r="A163" s="1" t="s">
        <v>175</v>
      </c>
      <c r="B163" s="1" t="s">
        <v>236</v>
      </c>
      <c r="C163" s="7">
        <v>9284</v>
      </c>
      <c r="D163" s="3">
        <v>33475</v>
      </c>
      <c r="E163" s="10">
        <f t="shared" ca="1" si="5"/>
        <v>33.988888888888887</v>
      </c>
      <c r="F163" s="10" t="str">
        <f>TEXT(Table1[[#This Row],[Fecha de Nacimiento]],"mmmm")</f>
        <v>August</v>
      </c>
      <c r="G163" s="1" t="s">
        <v>3</v>
      </c>
      <c r="H163" s="1" t="s">
        <v>4</v>
      </c>
      <c r="I163" s="1" t="s">
        <v>9</v>
      </c>
      <c r="J163" s="1" t="str">
        <f t="shared" si="6"/>
        <v>No Aumento</v>
      </c>
      <c r="L163"/>
    </row>
    <row r="164" spans="1:12" x14ac:dyDescent="0.3">
      <c r="A164" s="1" t="s">
        <v>176</v>
      </c>
      <c r="B164" s="1" t="s">
        <v>220</v>
      </c>
      <c r="C164" s="7">
        <v>3740</v>
      </c>
      <c r="D164" s="3">
        <v>33492</v>
      </c>
      <c r="E164" s="10">
        <f t="shared" ca="1" si="5"/>
        <v>33.944444444444443</v>
      </c>
      <c r="F164" s="10" t="str">
        <f>TEXT(Table1[[#This Row],[Fecha de Nacimiento]],"mmmm")</f>
        <v>September</v>
      </c>
      <c r="G164" s="1" t="s">
        <v>3</v>
      </c>
      <c r="H164" s="1" t="s">
        <v>12</v>
      </c>
      <c r="I164" s="1" t="s">
        <v>9</v>
      </c>
      <c r="J164" s="1" t="str">
        <f t="shared" si="6"/>
        <v>No Aumento</v>
      </c>
      <c r="L164"/>
    </row>
    <row r="165" spans="1:12" x14ac:dyDescent="0.3">
      <c r="A165" s="1" t="s">
        <v>177</v>
      </c>
      <c r="B165" s="1" t="s">
        <v>220</v>
      </c>
      <c r="C165" s="7">
        <v>5060</v>
      </c>
      <c r="D165" s="3">
        <v>33516</v>
      </c>
      <c r="E165" s="10">
        <f t="shared" ca="1" si="5"/>
        <v>33.87777777777778</v>
      </c>
      <c r="F165" s="10" t="str">
        <f>TEXT(Table1[[#This Row],[Fecha de Nacimiento]],"mmmm")</f>
        <v>October</v>
      </c>
      <c r="G165" s="1" t="s">
        <v>8</v>
      </c>
      <c r="H165" s="1" t="s">
        <v>12</v>
      </c>
      <c r="I165" s="1" t="s">
        <v>9</v>
      </c>
      <c r="J165" s="1" t="str">
        <f t="shared" si="6"/>
        <v>No Aumento</v>
      </c>
      <c r="L165"/>
    </row>
    <row r="166" spans="1:12" x14ac:dyDescent="0.3">
      <c r="A166" s="1" t="s">
        <v>178</v>
      </c>
      <c r="B166" s="1" t="s">
        <v>260</v>
      </c>
      <c r="C166" s="7">
        <v>7689</v>
      </c>
      <c r="D166" s="3">
        <v>33696</v>
      </c>
      <c r="E166" s="10">
        <f t="shared" ca="1" si="5"/>
        <v>33.386111111111113</v>
      </c>
      <c r="F166" s="10" t="str">
        <f>TEXT(Table1[[#This Row],[Fecha de Nacimiento]],"mmmm")</f>
        <v>April</v>
      </c>
      <c r="G166" s="1" t="s">
        <v>3</v>
      </c>
      <c r="H166" s="1" t="s">
        <v>11</v>
      </c>
      <c r="I166" s="1" t="s">
        <v>9</v>
      </c>
      <c r="J166" s="1" t="str">
        <f t="shared" si="6"/>
        <v>No Aumento</v>
      </c>
      <c r="L166"/>
    </row>
    <row r="167" spans="1:12" x14ac:dyDescent="0.3">
      <c r="A167" s="1" t="s">
        <v>179</v>
      </c>
      <c r="B167" s="1" t="s">
        <v>261</v>
      </c>
      <c r="C167" s="7">
        <v>12320</v>
      </c>
      <c r="D167" s="3">
        <v>33726</v>
      </c>
      <c r="E167" s="10">
        <f t="shared" ca="1" si="5"/>
        <v>33.302777777777777</v>
      </c>
      <c r="F167" s="10" t="str">
        <f>TEXT(Table1[[#This Row],[Fecha de Nacimiento]],"mmmm")</f>
        <v>May</v>
      </c>
      <c r="G167" s="1" t="s">
        <v>8</v>
      </c>
      <c r="H167" s="1" t="s">
        <v>4</v>
      </c>
      <c r="I167" s="1" t="s">
        <v>9</v>
      </c>
      <c r="J167" s="1" t="str">
        <f t="shared" si="6"/>
        <v>Aumento</v>
      </c>
      <c r="L167"/>
    </row>
    <row r="168" spans="1:12" x14ac:dyDescent="0.3">
      <c r="A168" s="1" t="s">
        <v>180</v>
      </c>
      <c r="B168" s="1" t="s">
        <v>223</v>
      </c>
      <c r="C168" s="7">
        <v>5400</v>
      </c>
      <c r="D168" s="3">
        <v>33736</v>
      </c>
      <c r="E168" s="10">
        <f t="shared" ca="1" si="5"/>
        <v>33.274999999999999</v>
      </c>
      <c r="F168" s="10" t="str">
        <f>TEXT(Table1[[#This Row],[Fecha de Nacimiento]],"mmmm")</f>
        <v>May</v>
      </c>
      <c r="G168" s="1" t="s">
        <v>8</v>
      </c>
      <c r="H168" s="1" t="s">
        <v>5</v>
      </c>
      <c r="I168" s="1" t="s">
        <v>10</v>
      </c>
      <c r="J168" s="1" t="str">
        <f t="shared" si="6"/>
        <v>No Aumento</v>
      </c>
      <c r="L168"/>
    </row>
    <row r="169" spans="1:12" x14ac:dyDescent="0.3">
      <c r="A169" s="1" t="s">
        <v>181</v>
      </c>
      <c r="B169" s="1" t="s">
        <v>225</v>
      </c>
      <c r="C169" s="7">
        <v>5720</v>
      </c>
      <c r="D169" s="3">
        <v>33743</v>
      </c>
      <c r="E169" s="10">
        <f t="shared" ca="1" si="5"/>
        <v>33.255555555555553</v>
      </c>
      <c r="F169" s="10" t="str">
        <f>TEXT(Table1[[#This Row],[Fecha de Nacimiento]],"mmmm")</f>
        <v>May</v>
      </c>
      <c r="G169" s="1" t="s">
        <v>8</v>
      </c>
      <c r="H169" s="1" t="s">
        <v>12</v>
      </c>
      <c r="I169" s="1" t="s">
        <v>9</v>
      </c>
      <c r="J169" s="1" t="str">
        <f t="shared" si="6"/>
        <v>No Aumento</v>
      </c>
      <c r="L169"/>
    </row>
    <row r="170" spans="1:12" x14ac:dyDescent="0.3">
      <c r="A170" s="1" t="s">
        <v>102</v>
      </c>
      <c r="B170" s="1" t="s">
        <v>232</v>
      </c>
      <c r="C170" s="7">
        <v>10000</v>
      </c>
      <c r="D170" s="3">
        <v>33767</v>
      </c>
      <c r="E170" s="10">
        <f t="shared" ca="1" si="5"/>
        <v>33.19166666666667</v>
      </c>
      <c r="F170" s="10" t="str">
        <f>TEXT(Table1[[#This Row],[Fecha de Nacimiento]],"mmmm")</f>
        <v>June</v>
      </c>
      <c r="G170" s="1" t="s">
        <v>8</v>
      </c>
      <c r="H170" s="1" t="s">
        <v>4</v>
      </c>
      <c r="I170" s="1" t="s">
        <v>9</v>
      </c>
      <c r="J170" s="1" t="str">
        <f t="shared" si="6"/>
        <v>No Aumento</v>
      </c>
      <c r="L170"/>
    </row>
    <row r="171" spans="1:12" x14ac:dyDescent="0.3">
      <c r="A171" s="1" t="s">
        <v>182</v>
      </c>
      <c r="B171" s="1" t="s">
        <v>231</v>
      </c>
      <c r="C171" s="7">
        <v>9460</v>
      </c>
      <c r="D171" s="3">
        <v>33771</v>
      </c>
      <c r="E171" s="10">
        <f t="shared" ca="1" si="5"/>
        <v>33.180555555555557</v>
      </c>
      <c r="F171" s="10" t="str">
        <f>TEXT(Table1[[#This Row],[Fecha de Nacimiento]],"mmmm")</f>
        <v>June</v>
      </c>
      <c r="G171" s="1" t="s">
        <v>8</v>
      </c>
      <c r="H171" s="1" t="s">
        <v>4</v>
      </c>
      <c r="I171" s="1" t="s">
        <v>10</v>
      </c>
      <c r="J171" s="1" t="str">
        <f t="shared" si="6"/>
        <v>No Aumento</v>
      </c>
      <c r="L171"/>
    </row>
    <row r="172" spans="1:12" x14ac:dyDescent="0.3">
      <c r="A172" s="1" t="s">
        <v>183</v>
      </c>
      <c r="B172" s="1" t="s">
        <v>220</v>
      </c>
      <c r="C172" s="7">
        <v>5280</v>
      </c>
      <c r="D172" s="3">
        <v>33784</v>
      </c>
      <c r="E172" s="10">
        <f t="shared" ca="1" si="5"/>
        <v>33.144444444444446</v>
      </c>
      <c r="F172" s="10" t="str">
        <f>TEXT(Table1[[#This Row],[Fecha de Nacimiento]],"mmmm")</f>
        <v>June</v>
      </c>
      <c r="G172" s="1" t="s">
        <v>3</v>
      </c>
      <c r="H172" s="1" t="s">
        <v>12</v>
      </c>
      <c r="I172" s="1" t="s">
        <v>9</v>
      </c>
      <c r="J172" s="1" t="str">
        <f t="shared" si="6"/>
        <v>No Aumento</v>
      </c>
      <c r="L172"/>
    </row>
    <row r="173" spans="1:12" x14ac:dyDescent="0.3">
      <c r="A173" s="1" t="s">
        <v>184</v>
      </c>
      <c r="B173" s="1" t="s">
        <v>261</v>
      </c>
      <c r="C173" s="7">
        <v>12212</v>
      </c>
      <c r="D173" s="3">
        <v>33794</v>
      </c>
      <c r="E173" s="10">
        <f t="shared" ca="1" si="5"/>
        <v>33.116666666666667</v>
      </c>
      <c r="F173" s="10" t="str">
        <f>TEXT(Table1[[#This Row],[Fecha de Nacimiento]],"mmmm")</f>
        <v>July</v>
      </c>
      <c r="G173" s="1" t="s">
        <v>8</v>
      </c>
      <c r="H173" s="1" t="s">
        <v>4</v>
      </c>
      <c r="I173" s="1" t="s">
        <v>9</v>
      </c>
      <c r="J173" s="1" t="str">
        <f t="shared" si="6"/>
        <v>Aumento</v>
      </c>
      <c r="L173"/>
    </row>
    <row r="174" spans="1:12" x14ac:dyDescent="0.3">
      <c r="A174" s="1" t="s">
        <v>185</v>
      </c>
      <c r="B174" s="1" t="s">
        <v>225</v>
      </c>
      <c r="C174" s="7">
        <v>5280</v>
      </c>
      <c r="D174" s="3">
        <v>33872</v>
      </c>
      <c r="E174" s="10">
        <f t="shared" ca="1" si="5"/>
        <v>32.905555555555559</v>
      </c>
      <c r="F174" s="10" t="str">
        <f>TEXT(Table1[[#This Row],[Fecha de Nacimiento]],"mmmm")</f>
        <v>September</v>
      </c>
      <c r="G174" s="1" t="s">
        <v>8</v>
      </c>
      <c r="H174" s="1" t="s">
        <v>12</v>
      </c>
      <c r="I174" s="1" t="s">
        <v>9</v>
      </c>
      <c r="J174" s="1" t="str">
        <f t="shared" si="6"/>
        <v>No Aumento</v>
      </c>
      <c r="L174"/>
    </row>
    <row r="175" spans="1:12" x14ac:dyDescent="0.3">
      <c r="A175" s="1" t="s">
        <v>186</v>
      </c>
      <c r="B175" s="1" t="s">
        <v>220</v>
      </c>
      <c r="C175" s="7">
        <v>4345</v>
      </c>
      <c r="D175" s="3">
        <v>33879</v>
      </c>
      <c r="E175" s="10">
        <f t="shared" ca="1" si="5"/>
        <v>32.886111111111113</v>
      </c>
      <c r="F175" s="10" t="str">
        <f>TEXT(Table1[[#This Row],[Fecha de Nacimiento]],"mmmm")</f>
        <v>October</v>
      </c>
      <c r="G175" s="1" t="s">
        <v>8</v>
      </c>
      <c r="H175" s="1" t="s">
        <v>12</v>
      </c>
      <c r="I175" s="1" t="s">
        <v>9</v>
      </c>
      <c r="J175" s="1" t="str">
        <f t="shared" si="6"/>
        <v>No Aumento</v>
      </c>
      <c r="L175"/>
    </row>
    <row r="176" spans="1:12" x14ac:dyDescent="0.3">
      <c r="A176" s="1" t="s">
        <v>187</v>
      </c>
      <c r="B176" s="1" t="s">
        <v>240</v>
      </c>
      <c r="C176" s="7">
        <v>7500</v>
      </c>
      <c r="D176" s="3">
        <v>33899</v>
      </c>
      <c r="E176" s="10">
        <f t="shared" ca="1" si="5"/>
        <v>32.830555555555556</v>
      </c>
      <c r="F176" s="10" t="str">
        <f>TEXT(Table1[[#This Row],[Fecha de Nacimiento]],"mmmm")</f>
        <v>October</v>
      </c>
      <c r="G176" s="1" t="s">
        <v>3</v>
      </c>
      <c r="H176" s="1" t="s">
        <v>4</v>
      </c>
      <c r="I176" s="1" t="s">
        <v>9</v>
      </c>
      <c r="J176" s="1" t="str">
        <f t="shared" si="6"/>
        <v>No Aumento</v>
      </c>
      <c r="L176"/>
    </row>
    <row r="177" spans="1:12" x14ac:dyDescent="0.3">
      <c r="A177" s="1" t="s">
        <v>188</v>
      </c>
      <c r="B177" s="1" t="s">
        <v>243</v>
      </c>
      <c r="C177" s="7">
        <v>6270</v>
      </c>
      <c r="D177" s="3">
        <v>33930</v>
      </c>
      <c r="E177" s="10">
        <f t="shared" ca="1" si="5"/>
        <v>32.74722222222222</v>
      </c>
      <c r="F177" s="10" t="str">
        <f>TEXT(Table1[[#This Row],[Fecha de Nacimiento]],"mmmm")</f>
        <v>November</v>
      </c>
      <c r="G177" s="1" t="s">
        <v>3</v>
      </c>
      <c r="H177" s="1" t="s">
        <v>11</v>
      </c>
      <c r="I177" s="1" t="s">
        <v>9</v>
      </c>
      <c r="J177" s="1" t="str">
        <f t="shared" si="6"/>
        <v>No Aumento</v>
      </c>
      <c r="L177"/>
    </row>
    <row r="178" spans="1:12" x14ac:dyDescent="0.3">
      <c r="A178" s="1" t="s">
        <v>189</v>
      </c>
      <c r="B178" s="1" t="s">
        <v>241</v>
      </c>
      <c r="C178" s="7">
        <v>7810</v>
      </c>
      <c r="D178" s="3">
        <v>34065</v>
      </c>
      <c r="E178" s="10">
        <f t="shared" ca="1" si="5"/>
        <v>32.375</v>
      </c>
      <c r="F178" s="10" t="str">
        <f>TEXT(Table1[[#This Row],[Fecha de Nacimiento]],"mmmm")</f>
        <v>April</v>
      </c>
      <c r="G178" s="1" t="s">
        <v>8</v>
      </c>
      <c r="H178" s="1" t="s">
        <v>4</v>
      </c>
      <c r="I178" s="1" t="s">
        <v>14</v>
      </c>
      <c r="J178" s="1" t="str">
        <f t="shared" si="6"/>
        <v>No Aumento</v>
      </c>
      <c r="L178"/>
    </row>
    <row r="179" spans="1:12" x14ac:dyDescent="0.3">
      <c r="A179" s="1" t="s">
        <v>190</v>
      </c>
      <c r="B179" s="1" t="s">
        <v>229</v>
      </c>
      <c r="C179" s="7">
        <v>5720</v>
      </c>
      <c r="D179" s="3">
        <v>34098</v>
      </c>
      <c r="E179" s="10">
        <f t="shared" ca="1" si="5"/>
        <v>32.283333333333331</v>
      </c>
      <c r="F179" s="10" t="str">
        <f>TEXT(Table1[[#This Row],[Fecha de Nacimiento]],"mmmm")</f>
        <v>May</v>
      </c>
      <c r="G179" s="1" t="s">
        <v>8</v>
      </c>
      <c r="H179" s="1" t="s">
        <v>4</v>
      </c>
      <c r="I179" s="1" t="s">
        <v>14</v>
      </c>
      <c r="J179" s="1" t="str">
        <f t="shared" si="6"/>
        <v>No Aumento</v>
      </c>
      <c r="L179"/>
    </row>
    <row r="180" spans="1:12" x14ac:dyDescent="0.3">
      <c r="A180" s="1" t="s">
        <v>191</v>
      </c>
      <c r="B180" s="1" t="s">
        <v>246</v>
      </c>
      <c r="C180" s="7">
        <v>3643</v>
      </c>
      <c r="D180" s="3">
        <v>34107</v>
      </c>
      <c r="E180" s="10">
        <f t="shared" ca="1" si="5"/>
        <v>32.258333333333333</v>
      </c>
      <c r="F180" s="10" t="str">
        <f>TEXT(Table1[[#This Row],[Fecha de Nacimiento]],"mmmm")</f>
        <v>May</v>
      </c>
      <c r="G180" s="1" t="s">
        <v>8</v>
      </c>
      <c r="H180" s="1" t="s">
        <v>11</v>
      </c>
      <c r="I180" s="1" t="s">
        <v>9</v>
      </c>
      <c r="J180" s="1" t="str">
        <f t="shared" si="6"/>
        <v>No Aumento</v>
      </c>
      <c r="L180"/>
    </row>
    <row r="181" spans="1:12" x14ac:dyDescent="0.3">
      <c r="A181" s="1" t="s">
        <v>192</v>
      </c>
      <c r="B181" s="1" t="s">
        <v>220</v>
      </c>
      <c r="C181" s="7">
        <v>4840</v>
      </c>
      <c r="D181" s="3">
        <v>34119</v>
      </c>
      <c r="E181" s="10">
        <f t="shared" ca="1" si="5"/>
        <v>32.225000000000001</v>
      </c>
      <c r="F181" s="10" t="str">
        <f>TEXT(Table1[[#This Row],[Fecha de Nacimiento]],"mmmm")</f>
        <v>May</v>
      </c>
      <c r="G181" s="1" t="s">
        <v>8</v>
      </c>
      <c r="H181" s="1" t="s">
        <v>12</v>
      </c>
      <c r="I181" s="1" t="s">
        <v>9</v>
      </c>
      <c r="J181" s="1" t="str">
        <f t="shared" si="6"/>
        <v>No Aumento</v>
      </c>
      <c r="L181"/>
    </row>
    <row r="182" spans="1:12" x14ac:dyDescent="0.3">
      <c r="A182" s="1" t="s">
        <v>193</v>
      </c>
      <c r="B182" s="1" t="s">
        <v>229</v>
      </c>
      <c r="C182" s="7">
        <v>9900</v>
      </c>
      <c r="D182" s="3">
        <v>34150</v>
      </c>
      <c r="E182" s="10">
        <f t="shared" ca="1" si="5"/>
        <v>32.141666666666666</v>
      </c>
      <c r="F182" s="10" t="str">
        <f>TEXT(Table1[[#This Row],[Fecha de Nacimiento]],"mmmm")</f>
        <v>June</v>
      </c>
      <c r="G182" s="1" t="s">
        <v>8</v>
      </c>
      <c r="H182" s="1" t="s">
        <v>4</v>
      </c>
      <c r="I182" s="1" t="s">
        <v>9</v>
      </c>
      <c r="J182" s="1" t="str">
        <f t="shared" si="6"/>
        <v>No Aumento</v>
      </c>
      <c r="L182"/>
    </row>
    <row r="183" spans="1:12" x14ac:dyDescent="0.3">
      <c r="A183" s="1" t="s">
        <v>194</v>
      </c>
      <c r="B183" s="1" t="s">
        <v>229</v>
      </c>
      <c r="C183" s="7">
        <v>8140</v>
      </c>
      <c r="D183" s="3">
        <v>34167</v>
      </c>
      <c r="E183" s="10">
        <f t="shared" ca="1" si="5"/>
        <v>32.094444444444441</v>
      </c>
      <c r="F183" s="10" t="str">
        <f>TEXT(Table1[[#This Row],[Fecha de Nacimiento]],"mmmm")</f>
        <v>July</v>
      </c>
      <c r="G183" s="1" t="s">
        <v>3</v>
      </c>
      <c r="H183" s="1" t="s">
        <v>4</v>
      </c>
      <c r="I183" s="1" t="s">
        <v>9</v>
      </c>
      <c r="J183" s="1" t="str">
        <f t="shared" si="6"/>
        <v>No Aumento</v>
      </c>
      <c r="L183"/>
    </row>
    <row r="184" spans="1:12" x14ac:dyDescent="0.3">
      <c r="A184" s="1" t="s">
        <v>195</v>
      </c>
      <c r="B184" s="1" t="s">
        <v>224</v>
      </c>
      <c r="C184" s="7">
        <v>8600</v>
      </c>
      <c r="D184" s="3">
        <v>34191</v>
      </c>
      <c r="E184" s="10">
        <f t="shared" ca="1" si="5"/>
        <v>32.030555555555559</v>
      </c>
      <c r="F184" s="10" t="str">
        <f>TEXT(Table1[[#This Row],[Fecha de Nacimiento]],"mmmm")</f>
        <v>August</v>
      </c>
      <c r="G184" s="1" t="s">
        <v>8</v>
      </c>
      <c r="H184" s="1" t="s">
        <v>5</v>
      </c>
      <c r="I184" s="1" t="s">
        <v>14</v>
      </c>
      <c r="J184" s="1" t="str">
        <f t="shared" si="6"/>
        <v>No Aumento</v>
      </c>
      <c r="L184"/>
    </row>
    <row r="185" spans="1:12" x14ac:dyDescent="0.3">
      <c r="A185" s="1" t="s">
        <v>196</v>
      </c>
      <c r="B185" s="1" t="s">
        <v>226</v>
      </c>
      <c r="C185" s="7">
        <v>10500</v>
      </c>
      <c r="D185" s="3">
        <v>34209</v>
      </c>
      <c r="E185" s="10">
        <f t="shared" ca="1" si="5"/>
        <v>31.980555555555554</v>
      </c>
      <c r="F185" s="10" t="str">
        <f>TEXT(Table1[[#This Row],[Fecha de Nacimiento]],"mmmm")</f>
        <v>August</v>
      </c>
      <c r="G185" s="1" t="s">
        <v>3</v>
      </c>
      <c r="H185" s="1" t="s">
        <v>5</v>
      </c>
      <c r="I185" s="1" t="s">
        <v>9</v>
      </c>
      <c r="J185" s="1" t="str">
        <f t="shared" si="6"/>
        <v>No Aumento</v>
      </c>
      <c r="L185"/>
    </row>
    <row r="186" spans="1:12" x14ac:dyDescent="0.3">
      <c r="A186" s="1" t="s">
        <v>197</v>
      </c>
      <c r="B186" s="1" t="s">
        <v>223</v>
      </c>
      <c r="C186" s="7">
        <v>4250</v>
      </c>
      <c r="D186" s="3">
        <v>34225</v>
      </c>
      <c r="E186" s="10">
        <f t="shared" ca="1" si="5"/>
        <v>31.93888888888889</v>
      </c>
      <c r="F186" s="10" t="str">
        <f>TEXT(Table1[[#This Row],[Fecha de Nacimiento]],"mmmm")</f>
        <v>September</v>
      </c>
      <c r="G186" s="1" t="s">
        <v>3</v>
      </c>
      <c r="H186" s="1" t="s">
        <v>5</v>
      </c>
      <c r="I186" s="1" t="s">
        <v>9</v>
      </c>
      <c r="J186" s="1" t="str">
        <f t="shared" si="6"/>
        <v>No Aumento</v>
      </c>
      <c r="L186"/>
    </row>
    <row r="187" spans="1:12" x14ac:dyDescent="0.3">
      <c r="A187" s="1" t="s">
        <v>198</v>
      </c>
      <c r="B187" s="1" t="s">
        <v>220</v>
      </c>
      <c r="C187" s="7">
        <v>4620</v>
      </c>
      <c r="D187" s="3">
        <v>34238</v>
      </c>
      <c r="E187" s="10">
        <f t="shared" ca="1" si="5"/>
        <v>31.902777777777779</v>
      </c>
      <c r="F187" s="10" t="str">
        <f>TEXT(Table1[[#This Row],[Fecha de Nacimiento]],"mmmm")</f>
        <v>September</v>
      </c>
      <c r="G187" s="1" t="s">
        <v>3</v>
      </c>
      <c r="H187" s="1" t="s">
        <v>12</v>
      </c>
      <c r="I187" s="1" t="s">
        <v>9</v>
      </c>
      <c r="J187" s="1" t="str">
        <f t="shared" si="6"/>
        <v>No Aumento</v>
      </c>
      <c r="L187"/>
    </row>
    <row r="188" spans="1:12" x14ac:dyDescent="0.3">
      <c r="A188" s="1" t="s">
        <v>199</v>
      </c>
      <c r="B188" s="1" t="s">
        <v>220</v>
      </c>
      <c r="C188" s="7">
        <v>4620</v>
      </c>
      <c r="D188" s="3">
        <v>34248</v>
      </c>
      <c r="E188" s="10">
        <f t="shared" ca="1" si="5"/>
        <v>31.875</v>
      </c>
      <c r="F188" s="10" t="str">
        <f>TEXT(Table1[[#This Row],[Fecha de Nacimiento]],"mmmm")</f>
        <v>October</v>
      </c>
      <c r="G188" s="1" t="s">
        <v>3</v>
      </c>
      <c r="H188" s="1" t="s">
        <v>12</v>
      </c>
      <c r="I188" s="1" t="s">
        <v>9</v>
      </c>
      <c r="J188" s="1" t="str">
        <f t="shared" si="6"/>
        <v>No Aumento</v>
      </c>
      <c r="L188"/>
    </row>
    <row r="189" spans="1:12" x14ac:dyDescent="0.3">
      <c r="A189" s="1" t="s">
        <v>200</v>
      </c>
      <c r="B189" s="1" t="s">
        <v>225</v>
      </c>
      <c r="C189" s="7">
        <v>5280</v>
      </c>
      <c r="D189" s="3">
        <v>34249</v>
      </c>
      <c r="E189" s="10">
        <f t="shared" ca="1" si="5"/>
        <v>31.872222222222224</v>
      </c>
      <c r="F189" s="10" t="str">
        <f>TEXT(Table1[[#This Row],[Fecha de Nacimiento]],"mmmm")</f>
        <v>October</v>
      </c>
      <c r="G189" s="1" t="s">
        <v>8</v>
      </c>
      <c r="H189" s="1" t="s">
        <v>12</v>
      </c>
      <c r="I189" s="1" t="s">
        <v>9</v>
      </c>
      <c r="J189" s="1" t="str">
        <f t="shared" si="6"/>
        <v>No Aumento</v>
      </c>
      <c r="L189"/>
    </row>
    <row r="190" spans="1:12" x14ac:dyDescent="0.3">
      <c r="A190" s="1" t="s">
        <v>201</v>
      </c>
      <c r="B190" s="1" t="s">
        <v>223</v>
      </c>
      <c r="C190" s="7">
        <v>5400</v>
      </c>
      <c r="D190" s="3">
        <v>34329</v>
      </c>
      <c r="E190" s="10">
        <f t="shared" ca="1" si="5"/>
        <v>31.652777777777779</v>
      </c>
      <c r="F190" s="10" t="str">
        <f>TEXT(Table1[[#This Row],[Fecha de Nacimiento]],"mmmm")</f>
        <v>December</v>
      </c>
      <c r="G190" s="1" t="s">
        <v>8</v>
      </c>
      <c r="H190" s="1" t="s">
        <v>5</v>
      </c>
      <c r="I190" s="1" t="s">
        <v>9</v>
      </c>
      <c r="J190" s="1" t="str">
        <f t="shared" si="6"/>
        <v>No Aumento</v>
      </c>
      <c r="L190"/>
    </row>
    <row r="191" spans="1:12" x14ac:dyDescent="0.3">
      <c r="A191" s="1" t="s">
        <v>202</v>
      </c>
      <c r="B191" s="1" t="s">
        <v>220</v>
      </c>
      <c r="C191" s="7">
        <v>3520</v>
      </c>
      <c r="D191" s="3">
        <v>34342</v>
      </c>
      <c r="E191" s="10">
        <f t="shared" ca="1" si="5"/>
        <v>31.619444444444444</v>
      </c>
      <c r="F191" s="10" t="str">
        <f>TEXT(Table1[[#This Row],[Fecha de Nacimiento]],"mmmm")</f>
        <v>January</v>
      </c>
      <c r="G191" s="1" t="s">
        <v>3</v>
      </c>
      <c r="H191" s="1" t="s">
        <v>12</v>
      </c>
      <c r="I191" s="1" t="s">
        <v>14</v>
      </c>
      <c r="J191" s="1" t="str">
        <f t="shared" si="6"/>
        <v>No Aumento</v>
      </c>
      <c r="L191"/>
    </row>
    <row r="192" spans="1:12" x14ac:dyDescent="0.3">
      <c r="A192" s="1" t="s">
        <v>203</v>
      </c>
      <c r="B192" s="1" t="s">
        <v>224</v>
      </c>
      <c r="C192" s="7">
        <v>8000</v>
      </c>
      <c r="D192" s="3">
        <v>34423</v>
      </c>
      <c r="E192" s="10">
        <f t="shared" ca="1" si="5"/>
        <v>31.391666666666666</v>
      </c>
      <c r="F192" s="10" t="str">
        <f>TEXT(Table1[[#This Row],[Fecha de Nacimiento]],"mmmm")</f>
        <v>March</v>
      </c>
      <c r="G192" s="1" t="s">
        <v>8</v>
      </c>
      <c r="H192" s="1" t="s">
        <v>5</v>
      </c>
      <c r="I192" s="1" t="s">
        <v>9</v>
      </c>
      <c r="J192" s="1" t="str">
        <f t="shared" si="6"/>
        <v>No Aumento</v>
      </c>
      <c r="L192"/>
    </row>
    <row r="193" spans="1:12" x14ac:dyDescent="0.3">
      <c r="A193" s="1" t="s">
        <v>204</v>
      </c>
      <c r="B193" s="1" t="s">
        <v>240</v>
      </c>
      <c r="C193" s="7">
        <v>7500</v>
      </c>
      <c r="D193" s="3">
        <v>34514</v>
      </c>
      <c r="E193" s="10">
        <f t="shared" ca="1" si="5"/>
        <v>31.144444444444446</v>
      </c>
      <c r="F193" s="10" t="str">
        <f>TEXT(Table1[[#This Row],[Fecha de Nacimiento]],"mmmm")</f>
        <v>June</v>
      </c>
      <c r="G193" s="1" t="s">
        <v>3</v>
      </c>
      <c r="H193" s="1" t="s">
        <v>4</v>
      </c>
      <c r="I193" s="1" t="s">
        <v>9</v>
      </c>
      <c r="J193" s="1" t="str">
        <f t="shared" si="6"/>
        <v>No Aumento</v>
      </c>
      <c r="L193"/>
    </row>
    <row r="194" spans="1:12" x14ac:dyDescent="0.3">
      <c r="A194" s="1" t="s">
        <v>205</v>
      </c>
      <c r="B194" s="1" t="s">
        <v>225</v>
      </c>
      <c r="C194" s="7">
        <v>5280</v>
      </c>
      <c r="D194" s="3">
        <v>34570</v>
      </c>
      <c r="E194" s="10">
        <f t="shared" ref="E194:E208" ca="1" si="7">YEARFRAC(TODAY(),D194)</f>
        <v>30.991666666666667</v>
      </c>
      <c r="F194" s="10" t="str">
        <f>TEXT(Table1[[#This Row],[Fecha de Nacimiento]],"mmmm")</f>
        <v>August</v>
      </c>
      <c r="G194" s="1" t="s">
        <v>8</v>
      </c>
      <c r="H194" s="1" t="s">
        <v>12</v>
      </c>
      <c r="I194" s="1" t="s">
        <v>10</v>
      </c>
      <c r="J194" s="1" t="str">
        <f t="shared" ref="J194:J208" si="8">IF(C194&gt;12000,"Aumento","No Aumento")</f>
        <v>No Aumento</v>
      </c>
      <c r="L194"/>
    </row>
    <row r="195" spans="1:12" x14ac:dyDescent="0.3">
      <c r="A195" s="1" t="s">
        <v>206</v>
      </c>
      <c r="B195" s="1" t="s">
        <v>224</v>
      </c>
      <c r="C195" s="7">
        <v>8600</v>
      </c>
      <c r="D195" s="3">
        <v>34598</v>
      </c>
      <c r="E195" s="10">
        <f t="shared" ca="1" si="7"/>
        <v>30.916666666666668</v>
      </c>
      <c r="F195" s="10" t="str">
        <f>TEXT(Table1[[#This Row],[Fecha de Nacimiento]],"mmmm")</f>
        <v>September</v>
      </c>
      <c r="G195" s="1" t="s">
        <v>8</v>
      </c>
      <c r="H195" s="1" t="s">
        <v>5</v>
      </c>
      <c r="I195" s="1" t="s">
        <v>9</v>
      </c>
      <c r="J195" s="1" t="str">
        <f t="shared" si="8"/>
        <v>No Aumento</v>
      </c>
      <c r="L195"/>
    </row>
    <row r="196" spans="1:12" x14ac:dyDescent="0.3">
      <c r="A196" s="1" t="s">
        <v>207</v>
      </c>
      <c r="B196" s="1" t="s">
        <v>220</v>
      </c>
      <c r="C196" s="7">
        <v>3960</v>
      </c>
      <c r="D196" s="3">
        <v>34624</v>
      </c>
      <c r="E196" s="10">
        <f t="shared" ca="1" si="7"/>
        <v>30.844444444444445</v>
      </c>
      <c r="F196" s="10" t="str">
        <f>TEXT(Table1[[#This Row],[Fecha de Nacimiento]],"mmmm")</f>
        <v>October</v>
      </c>
      <c r="G196" s="1" t="s">
        <v>3</v>
      </c>
      <c r="H196" s="1" t="s">
        <v>12</v>
      </c>
      <c r="I196" s="1" t="s">
        <v>10</v>
      </c>
      <c r="J196" s="1" t="str">
        <f t="shared" si="8"/>
        <v>No Aumento</v>
      </c>
      <c r="L196"/>
    </row>
    <row r="197" spans="1:12" x14ac:dyDescent="0.3">
      <c r="A197" s="1" t="s">
        <v>208</v>
      </c>
      <c r="B197" s="1" t="s">
        <v>224</v>
      </c>
      <c r="C197" s="7">
        <v>7500</v>
      </c>
      <c r="D197" s="3">
        <v>34644</v>
      </c>
      <c r="E197" s="10">
        <f t="shared" ca="1" si="7"/>
        <v>30.791666666666668</v>
      </c>
      <c r="F197" s="10" t="str">
        <f>TEXT(Table1[[#This Row],[Fecha de Nacimiento]],"mmmm")</f>
        <v>November</v>
      </c>
      <c r="G197" s="1" t="s">
        <v>8</v>
      </c>
      <c r="H197" s="1" t="s">
        <v>5</v>
      </c>
      <c r="I197" s="1" t="s">
        <v>9</v>
      </c>
      <c r="J197" s="1" t="str">
        <f t="shared" si="8"/>
        <v>No Aumento</v>
      </c>
      <c r="L197"/>
    </row>
    <row r="198" spans="1:12" x14ac:dyDescent="0.3">
      <c r="A198" s="1" t="s">
        <v>209</v>
      </c>
      <c r="B198" s="1" t="s">
        <v>229</v>
      </c>
      <c r="C198" s="7">
        <v>9240</v>
      </c>
      <c r="D198" s="3">
        <v>34661</v>
      </c>
      <c r="E198" s="10">
        <f t="shared" ca="1" si="7"/>
        <v>30.744444444444444</v>
      </c>
      <c r="F198" s="10" t="str">
        <f>TEXT(Table1[[#This Row],[Fecha de Nacimiento]],"mmmm")</f>
        <v>November</v>
      </c>
      <c r="G198" s="1" t="s">
        <v>3</v>
      </c>
      <c r="H198" s="1" t="s">
        <v>4</v>
      </c>
      <c r="I198" s="1" t="s">
        <v>9</v>
      </c>
      <c r="J198" s="1" t="str">
        <f t="shared" si="8"/>
        <v>No Aumento</v>
      </c>
      <c r="L198"/>
    </row>
    <row r="199" spans="1:12" x14ac:dyDescent="0.3">
      <c r="A199" s="1" t="s">
        <v>210</v>
      </c>
      <c r="B199" s="1" t="s">
        <v>223</v>
      </c>
      <c r="C199" s="7">
        <v>5350</v>
      </c>
      <c r="D199" s="3">
        <v>34672</v>
      </c>
      <c r="E199" s="10">
        <f t="shared" ca="1" si="7"/>
        <v>30.713888888888889</v>
      </c>
      <c r="F199" s="10" t="str">
        <f>TEXT(Table1[[#This Row],[Fecha de Nacimiento]],"mmmm")</f>
        <v>December</v>
      </c>
      <c r="G199" s="1" t="s">
        <v>3</v>
      </c>
      <c r="H199" s="1" t="s">
        <v>5</v>
      </c>
      <c r="I199" s="1" t="s">
        <v>9</v>
      </c>
      <c r="J199" s="1" t="str">
        <f t="shared" si="8"/>
        <v>No Aumento</v>
      </c>
      <c r="L199"/>
    </row>
    <row r="200" spans="1:12" x14ac:dyDescent="0.3">
      <c r="A200" s="1" t="s">
        <v>211</v>
      </c>
      <c r="B200" s="1" t="s">
        <v>220</v>
      </c>
      <c r="C200" s="7">
        <v>4180</v>
      </c>
      <c r="D200" s="3">
        <v>34708</v>
      </c>
      <c r="E200" s="10">
        <f t="shared" ca="1" si="7"/>
        <v>30.616666666666667</v>
      </c>
      <c r="F200" s="10" t="str">
        <f>TEXT(Table1[[#This Row],[Fecha de Nacimiento]],"mmmm")</f>
        <v>January</v>
      </c>
      <c r="G200" s="1" t="s">
        <v>3</v>
      </c>
      <c r="H200" s="1" t="s">
        <v>12</v>
      </c>
      <c r="I200" s="1" t="s">
        <v>9</v>
      </c>
      <c r="J200" s="1" t="str">
        <f t="shared" si="8"/>
        <v>No Aumento</v>
      </c>
      <c r="L200"/>
    </row>
    <row r="201" spans="1:12" x14ac:dyDescent="0.3">
      <c r="A201" s="1" t="s">
        <v>212</v>
      </c>
      <c r="B201" s="1" t="s">
        <v>262</v>
      </c>
      <c r="C201" s="7">
        <v>11880</v>
      </c>
      <c r="D201" s="3">
        <v>34807</v>
      </c>
      <c r="E201" s="10">
        <f t="shared" ca="1" si="7"/>
        <v>30.341666666666665</v>
      </c>
      <c r="F201" s="10" t="str">
        <f>TEXT(Table1[[#This Row],[Fecha de Nacimiento]],"mmmm")</f>
        <v>April</v>
      </c>
      <c r="G201" s="1" t="s">
        <v>8</v>
      </c>
      <c r="H201" s="1" t="s">
        <v>5</v>
      </c>
      <c r="I201" s="1" t="s">
        <v>9</v>
      </c>
      <c r="J201" s="1" t="str">
        <f t="shared" si="8"/>
        <v>No Aumento</v>
      </c>
      <c r="L201"/>
    </row>
    <row r="202" spans="1:12" x14ac:dyDescent="0.3">
      <c r="A202" s="1" t="s">
        <v>213</v>
      </c>
      <c r="B202" s="1" t="s">
        <v>225</v>
      </c>
      <c r="C202" s="7">
        <v>5940</v>
      </c>
      <c r="D202" s="3">
        <v>34962</v>
      </c>
      <c r="E202" s="10">
        <f t="shared" ca="1" si="7"/>
        <v>29.919444444444444</v>
      </c>
      <c r="F202" s="10" t="str">
        <f>TEXT(Table1[[#This Row],[Fecha de Nacimiento]],"mmmm")</f>
        <v>September</v>
      </c>
      <c r="G202" s="1" t="s">
        <v>8</v>
      </c>
      <c r="H202" s="1" t="s">
        <v>12</v>
      </c>
      <c r="I202" s="1" t="s">
        <v>10</v>
      </c>
      <c r="J202" s="1" t="str">
        <f t="shared" si="8"/>
        <v>No Aumento</v>
      </c>
      <c r="L202"/>
    </row>
    <row r="203" spans="1:12" x14ac:dyDescent="0.3">
      <c r="A203" s="1" t="s">
        <v>214</v>
      </c>
      <c r="B203" s="1" t="s">
        <v>226</v>
      </c>
      <c r="C203" s="7">
        <v>10000</v>
      </c>
      <c r="D203" s="3">
        <v>35007</v>
      </c>
      <c r="E203" s="10">
        <f t="shared" ca="1" si="7"/>
        <v>29.797222222222221</v>
      </c>
      <c r="F203" s="10" t="str">
        <f>TEXT(Table1[[#This Row],[Fecha de Nacimiento]],"mmmm")</f>
        <v>November</v>
      </c>
      <c r="G203" s="1" t="s">
        <v>8</v>
      </c>
      <c r="H203" s="1" t="s">
        <v>5</v>
      </c>
      <c r="I203" s="1" t="s">
        <v>9</v>
      </c>
      <c r="J203" s="1" t="str">
        <f t="shared" si="8"/>
        <v>No Aumento</v>
      </c>
      <c r="L203"/>
    </row>
    <row r="204" spans="1:12" x14ac:dyDescent="0.3">
      <c r="A204" s="1" t="s">
        <v>215</v>
      </c>
      <c r="B204" s="1" t="s">
        <v>220</v>
      </c>
      <c r="C204" s="7">
        <v>3520</v>
      </c>
      <c r="D204" s="3">
        <v>35091</v>
      </c>
      <c r="E204" s="10">
        <f t="shared" ca="1" si="7"/>
        <v>29.566666666666666</v>
      </c>
      <c r="F204" s="10" t="str">
        <f>TEXT(Table1[[#This Row],[Fecha de Nacimiento]],"mmmm")</f>
        <v>January</v>
      </c>
      <c r="G204" s="1" t="s">
        <v>8</v>
      </c>
      <c r="H204" s="1" t="s">
        <v>12</v>
      </c>
      <c r="I204" s="1" t="s">
        <v>9</v>
      </c>
      <c r="J204" s="1" t="str">
        <f t="shared" si="8"/>
        <v>No Aumento</v>
      </c>
      <c r="L204"/>
    </row>
    <row r="205" spans="1:12" x14ac:dyDescent="0.3">
      <c r="A205" s="1" t="s">
        <v>216</v>
      </c>
      <c r="B205" s="1" t="s">
        <v>224</v>
      </c>
      <c r="C205" s="7">
        <v>7500</v>
      </c>
      <c r="D205" s="3">
        <v>35206</v>
      </c>
      <c r="E205" s="10">
        <f t="shared" ca="1" si="7"/>
        <v>29.25</v>
      </c>
      <c r="F205" s="10" t="str">
        <f>TEXT(Table1[[#This Row],[Fecha de Nacimiento]],"mmmm")</f>
        <v>May</v>
      </c>
      <c r="G205" s="1" t="s">
        <v>3</v>
      </c>
      <c r="H205" s="1" t="s">
        <v>5</v>
      </c>
      <c r="I205" s="1" t="s">
        <v>9</v>
      </c>
      <c r="J205" s="1" t="str">
        <f t="shared" si="8"/>
        <v>No Aumento</v>
      </c>
      <c r="L205"/>
    </row>
    <row r="206" spans="1:12" x14ac:dyDescent="0.3">
      <c r="A206" s="1" t="s">
        <v>217</v>
      </c>
      <c r="B206" s="1" t="s">
        <v>220</v>
      </c>
      <c r="C206" s="7">
        <v>3740</v>
      </c>
      <c r="D206" s="3">
        <v>35598</v>
      </c>
      <c r="E206" s="10">
        <f t="shared" ca="1" si="7"/>
        <v>28.177777777777777</v>
      </c>
      <c r="F206" s="10" t="str">
        <f>TEXT(Table1[[#This Row],[Fecha de Nacimiento]],"mmmm")</f>
        <v>June</v>
      </c>
      <c r="G206" s="1" t="s">
        <v>8</v>
      </c>
      <c r="H206" s="1" t="s">
        <v>12</v>
      </c>
      <c r="I206" s="1" t="s">
        <v>9</v>
      </c>
      <c r="J206" s="1" t="str">
        <f t="shared" si="8"/>
        <v>No Aumento</v>
      </c>
      <c r="L206"/>
    </row>
    <row r="207" spans="1:12" x14ac:dyDescent="0.3">
      <c r="A207" s="1" t="s">
        <v>218</v>
      </c>
      <c r="B207" s="1" t="s">
        <v>225</v>
      </c>
      <c r="C207" s="7">
        <v>6160</v>
      </c>
      <c r="D207" s="3">
        <v>35615</v>
      </c>
      <c r="E207" s="10">
        <f t="shared" ca="1" si="7"/>
        <v>28.130555555555556</v>
      </c>
      <c r="F207" s="10" t="str">
        <f>TEXT(Table1[[#This Row],[Fecha de Nacimiento]],"mmmm")</f>
        <v>July</v>
      </c>
      <c r="G207" s="1" t="s">
        <v>8</v>
      </c>
      <c r="H207" s="1" t="s">
        <v>12</v>
      </c>
      <c r="I207" s="1" t="s">
        <v>9</v>
      </c>
      <c r="J207" s="1" t="str">
        <f t="shared" si="8"/>
        <v>No Aumento</v>
      </c>
      <c r="L207"/>
    </row>
    <row r="208" spans="1:12" x14ac:dyDescent="0.3">
      <c r="A208" s="1" t="s">
        <v>219</v>
      </c>
      <c r="B208" s="1" t="s">
        <v>225</v>
      </c>
      <c r="C208" s="7">
        <v>5940</v>
      </c>
      <c r="D208" s="3">
        <v>35658</v>
      </c>
      <c r="E208" s="10">
        <f t="shared" ca="1" si="7"/>
        <v>28.013888888888889</v>
      </c>
      <c r="F208" s="10" t="str">
        <f>TEXT(Table1[[#This Row],[Fecha de Nacimiento]],"mmmm")</f>
        <v>August</v>
      </c>
      <c r="G208" s="1" t="s">
        <v>3</v>
      </c>
      <c r="H208" s="1" t="s">
        <v>12</v>
      </c>
      <c r="I208" s="1" t="s">
        <v>9</v>
      </c>
      <c r="J208" s="1" t="str">
        <f t="shared" si="8"/>
        <v>No Aumento</v>
      </c>
      <c r="L208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29EA32D4A311247A44395277B1C8727" ma:contentTypeVersion="15" ma:contentTypeDescription="Crie um novo documento." ma:contentTypeScope="" ma:versionID="81faa0723713d2edf1708e01302ca5bf">
  <xsd:schema xmlns:xsd="http://www.w3.org/2001/XMLSchema" xmlns:xs="http://www.w3.org/2001/XMLSchema" xmlns:p="http://schemas.microsoft.com/office/2006/metadata/properties" xmlns:ns2="de12120c-7603-42cb-9d7a-20d1349fd48c" xmlns:ns3="dd067ca1-99dd-4f18-adec-862d4e118db1" targetNamespace="http://schemas.microsoft.com/office/2006/metadata/properties" ma:root="true" ma:fieldsID="86d724373356fad3fe03dec6a4e4abd5" ns2:_="" ns3:_="">
    <xsd:import namespace="de12120c-7603-42cb-9d7a-20d1349fd48c"/>
    <xsd:import namespace="dd067ca1-99dd-4f18-adec-862d4e118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12120c-7603-42cb-9d7a-20d1349fd4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a08b5b2d-c1ef-4e2a-983b-70363f77e1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067ca1-99dd-4f18-adec-862d4e118db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a6b1e4c3-fed4-454f-8625-b60640d54424}" ma:internalName="TaxCatchAll" ma:showField="CatchAllData" ma:web="dd067ca1-99dd-4f18-adec-862d4e118d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067ca1-99dd-4f18-adec-862d4e118db1" xsi:nil="true"/>
    <lcf76f155ced4ddcb4097134ff3c332f xmlns="de12120c-7603-42cb-9d7a-20d1349fd48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5CD0621-6027-4785-B07C-6B568177BD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EA92EFE-1E37-4CC0-B32A-100BBDD8D9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12120c-7603-42cb-9d7a-20d1349fd48c"/>
    <ds:schemaRef ds:uri="dd067ca1-99dd-4f18-adec-862d4e118d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2BC1873-DB4E-4D0A-9BAC-99CE370148AC}">
  <ds:schemaRefs>
    <ds:schemaRef ds:uri="http://schemas.microsoft.com/office/2006/metadata/properties"/>
    <ds:schemaRef ds:uri="http://schemas.microsoft.com/office/infopath/2007/PartnerControls"/>
    <ds:schemaRef ds:uri="74285541-af52-477e-9e9f-a7931a2b6f68"/>
    <ds:schemaRef ds:uri="c5998f2b-dba0-4c41-ad81-788846a0bdcd"/>
    <ds:schemaRef ds:uri="dd067ca1-99dd-4f18-adec-862d4e118db1"/>
    <ds:schemaRef ds:uri="de12120c-7603-42cb-9d7a-20d1349fd48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 de Datos RRHH (2)</vt:lpstr>
      <vt:lpstr>Class 1</vt:lpstr>
      <vt:lpstr>Sheet3</vt:lpstr>
      <vt:lpstr>Sheet2</vt:lpstr>
      <vt:lpstr>Base de Datos RRHH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Lorennzo Marrochi Nolding Rodrigues</dc:creator>
  <cp:lastModifiedBy>Catherine Torres</cp:lastModifiedBy>
  <dcterms:created xsi:type="dcterms:W3CDTF">2020-04-23T15:06:46Z</dcterms:created>
  <dcterms:modified xsi:type="dcterms:W3CDTF">2025-08-21T21:08:49Z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0x010100629EA32D4A311247A44395277B1C8727</vt:lpwstr>
  </property>
  <property fmtid="{D5CDD505-2E9C-101B-9397-08002B2CF9AE}" pid="5" name="MediaServiceImageTags">
    <vt:lpwstr/>
  </property>
</Properties>
</file>